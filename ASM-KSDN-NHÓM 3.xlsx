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50" yWindow="540" windowWidth="18350" windowHeight="6740"/>
  </bookViews>
  <sheets>
    <sheet name="Ước tính chi phí" sheetId="1" r:id="rId1"/>
    <sheet name="giá bán sp" sheetId="2" r:id="rId2"/>
    <sheet name="Doanh thu" sheetId="3" r:id="rId3"/>
    <sheet name="vị trí công việc" sheetId="4" r:id="rId4"/>
    <sheet name="xúc tiến bán" sheetId="5" r:id="rId5"/>
    <sheet name="Danh mục sản phẩm" sheetId="6" r:id="rId6"/>
    <sheet name="Bảng lợi nhuận" sheetId="7" r:id="rId7"/>
    <sheet name="ước tính vốn" sheetId="8" r:id="rId8"/>
    <sheet name="rủi ro" sheetId="9" r:id="rId9"/>
  </sheets>
  <calcPr calcId="144525"/>
</workbook>
</file>

<file path=xl/calcChain.xml><?xml version="1.0" encoding="utf-8"?>
<calcChain xmlns="http://schemas.openxmlformats.org/spreadsheetml/2006/main">
  <c r="C17" i="8" l="1"/>
  <c r="J12" i="8" s="1"/>
  <c r="I11" i="8"/>
  <c r="D8" i="5"/>
  <c r="B7" i="4"/>
  <c r="N83" i="3"/>
  <c r="M83" i="3"/>
  <c r="L83" i="3"/>
  <c r="K83" i="3"/>
  <c r="J83" i="3"/>
  <c r="I83" i="3"/>
  <c r="H83" i="3"/>
  <c r="G83" i="3"/>
  <c r="F83" i="3"/>
  <c r="E83" i="3"/>
  <c r="D83" i="3"/>
  <c r="C83" i="3"/>
  <c r="N80" i="3"/>
  <c r="M80" i="3"/>
  <c r="L80" i="3"/>
  <c r="K80" i="3"/>
  <c r="J80" i="3"/>
  <c r="I80" i="3"/>
  <c r="H80" i="3"/>
  <c r="G80" i="3"/>
  <c r="F80" i="3"/>
  <c r="E80" i="3"/>
  <c r="D80" i="3"/>
  <c r="C80" i="3"/>
  <c r="N77" i="3"/>
  <c r="M77" i="3"/>
  <c r="L77" i="3"/>
  <c r="K77" i="3"/>
  <c r="J77" i="3"/>
  <c r="I77" i="3"/>
  <c r="H77" i="3"/>
  <c r="G77" i="3"/>
  <c r="F77" i="3"/>
  <c r="E77" i="3"/>
  <c r="D77" i="3"/>
  <c r="C77" i="3"/>
  <c r="N74" i="3"/>
  <c r="M74" i="3"/>
  <c r="L74" i="3"/>
  <c r="K74" i="3"/>
  <c r="J74" i="3"/>
  <c r="I74" i="3"/>
  <c r="H74" i="3"/>
  <c r="G74" i="3"/>
  <c r="F74" i="3"/>
  <c r="E74" i="3"/>
  <c r="D74" i="3"/>
  <c r="C74" i="3"/>
  <c r="N71" i="3"/>
  <c r="M71" i="3"/>
  <c r="L71" i="3"/>
  <c r="K71" i="3"/>
  <c r="J71" i="3"/>
  <c r="I71" i="3"/>
  <c r="H71" i="3"/>
  <c r="G71" i="3"/>
  <c r="F71" i="3"/>
  <c r="E71" i="3"/>
  <c r="D71" i="3"/>
  <c r="C71" i="3"/>
  <c r="N68" i="3"/>
  <c r="M68" i="3"/>
  <c r="L68" i="3"/>
  <c r="K68" i="3"/>
  <c r="J68" i="3"/>
  <c r="I68" i="3"/>
  <c r="H68" i="3"/>
  <c r="G68" i="3"/>
  <c r="F68" i="3"/>
  <c r="E68" i="3"/>
  <c r="D68" i="3"/>
  <c r="C68" i="3"/>
  <c r="N65" i="3"/>
  <c r="M65" i="3"/>
  <c r="L65" i="3"/>
  <c r="K65" i="3"/>
  <c r="J65" i="3"/>
  <c r="I65" i="3"/>
  <c r="H65" i="3"/>
  <c r="G65" i="3"/>
  <c r="F65" i="3"/>
  <c r="E65" i="3"/>
  <c r="D65" i="3"/>
  <c r="C65" i="3"/>
  <c r="N62" i="3"/>
  <c r="M62" i="3"/>
  <c r="L62" i="3"/>
  <c r="K62" i="3"/>
  <c r="J62" i="3"/>
  <c r="I62" i="3"/>
  <c r="H62" i="3"/>
  <c r="G62" i="3"/>
  <c r="F62" i="3"/>
  <c r="E62" i="3"/>
  <c r="D62" i="3"/>
  <c r="C62" i="3"/>
  <c r="N59" i="3"/>
  <c r="M59" i="3"/>
  <c r="L59" i="3"/>
  <c r="K59" i="3"/>
  <c r="J59" i="3"/>
  <c r="I59" i="3"/>
  <c r="H59" i="3"/>
  <c r="G59" i="3"/>
  <c r="F59" i="3"/>
  <c r="E59" i="3"/>
  <c r="D59" i="3"/>
  <c r="C59" i="3"/>
  <c r="N56" i="3"/>
  <c r="M56" i="3"/>
  <c r="L56" i="3"/>
  <c r="K56" i="3"/>
  <c r="J56" i="3"/>
  <c r="I56" i="3"/>
  <c r="H56" i="3"/>
  <c r="G56" i="3"/>
  <c r="F56" i="3"/>
  <c r="E56" i="3"/>
  <c r="D56" i="3"/>
  <c r="C56" i="3"/>
  <c r="N53" i="3"/>
  <c r="M53" i="3"/>
  <c r="L53" i="3"/>
  <c r="K53" i="3"/>
  <c r="J53" i="3"/>
  <c r="I53" i="3"/>
  <c r="H53" i="3"/>
  <c r="G53" i="3"/>
  <c r="F53" i="3"/>
  <c r="E53" i="3"/>
  <c r="D53" i="3"/>
  <c r="C53" i="3"/>
  <c r="N50" i="3"/>
  <c r="M50" i="3"/>
  <c r="L50" i="3"/>
  <c r="K50" i="3"/>
  <c r="J50" i="3"/>
  <c r="I50" i="3"/>
  <c r="H50" i="3"/>
  <c r="G50" i="3"/>
  <c r="F50" i="3"/>
  <c r="E50" i="3"/>
  <c r="D50" i="3"/>
  <c r="C50" i="3"/>
  <c r="N47" i="3"/>
  <c r="M47" i="3"/>
  <c r="L47" i="3"/>
  <c r="K47" i="3"/>
  <c r="J47" i="3"/>
  <c r="I47" i="3"/>
  <c r="H47" i="3"/>
  <c r="G47" i="3"/>
  <c r="F47" i="3"/>
  <c r="E47" i="3"/>
  <c r="D47" i="3"/>
  <c r="C47" i="3"/>
  <c r="N44" i="3"/>
  <c r="M44" i="3"/>
  <c r="L44" i="3"/>
  <c r="K44" i="3"/>
  <c r="J44" i="3"/>
  <c r="I44" i="3"/>
  <c r="H44" i="3"/>
  <c r="G44" i="3"/>
  <c r="F44" i="3"/>
  <c r="E44" i="3"/>
  <c r="D44" i="3"/>
  <c r="C44" i="3"/>
  <c r="N41" i="3"/>
  <c r="M41" i="3"/>
  <c r="L41" i="3"/>
  <c r="K41" i="3"/>
  <c r="J41" i="3"/>
  <c r="I41" i="3"/>
  <c r="H41" i="3"/>
  <c r="G41" i="3"/>
  <c r="F41" i="3"/>
  <c r="E41" i="3"/>
  <c r="D41" i="3"/>
  <c r="C41" i="3"/>
  <c r="N38" i="3"/>
  <c r="M38" i="3"/>
  <c r="L38" i="3"/>
  <c r="K38" i="3"/>
  <c r="J38" i="3"/>
  <c r="I38" i="3"/>
  <c r="H38" i="3"/>
  <c r="G38" i="3"/>
  <c r="F38" i="3"/>
  <c r="E38" i="3"/>
  <c r="D38" i="3"/>
  <c r="C38" i="3"/>
  <c r="N35" i="3"/>
  <c r="M35" i="3"/>
  <c r="L35" i="3"/>
  <c r="K35" i="3"/>
  <c r="J35" i="3"/>
  <c r="I35" i="3"/>
  <c r="H35" i="3"/>
  <c r="G35" i="3"/>
  <c r="F35" i="3"/>
  <c r="E35" i="3"/>
  <c r="D35" i="3"/>
  <c r="C35" i="3"/>
  <c r="N32" i="3"/>
  <c r="M32" i="3"/>
  <c r="L32" i="3"/>
  <c r="K32" i="3"/>
  <c r="J32" i="3"/>
  <c r="I32" i="3"/>
  <c r="H32" i="3"/>
  <c r="G32" i="3"/>
  <c r="F32" i="3"/>
  <c r="E32" i="3"/>
  <c r="D32" i="3"/>
  <c r="C32" i="3"/>
  <c r="N29" i="3"/>
  <c r="M29" i="3"/>
  <c r="L29" i="3"/>
  <c r="K29" i="3"/>
  <c r="J29" i="3"/>
  <c r="I29" i="3"/>
  <c r="H29" i="3"/>
  <c r="G29" i="3"/>
  <c r="F29" i="3"/>
  <c r="E29" i="3"/>
  <c r="D29" i="3"/>
  <c r="C29" i="3"/>
  <c r="N26" i="3"/>
  <c r="M26" i="3"/>
  <c r="L26" i="3"/>
  <c r="K26" i="3"/>
  <c r="J26" i="3"/>
  <c r="I26" i="3"/>
  <c r="H26" i="3"/>
  <c r="G26" i="3"/>
  <c r="F26" i="3"/>
  <c r="E26" i="3"/>
  <c r="D26" i="3"/>
  <c r="C26" i="3"/>
  <c r="N23" i="3"/>
  <c r="M23" i="3"/>
  <c r="L23" i="3"/>
  <c r="K23" i="3"/>
  <c r="J23" i="3"/>
  <c r="I23" i="3"/>
  <c r="H23" i="3"/>
  <c r="G23" i="3"/>
  <c r="F23" i="3"/>
  <c r="E23" i="3"/>
  <c r="D23" i="3"/>
  <c r="C23" i="3"/>
  <c r="N20" i="3"/>
  <c r="M20" i="3"/>
  <c r="L20" i="3"/>
  <c r="K20" i="3"/>
  <c r="J20" i="3"/>
  <c r="I20" i="3"/>
  <c r="H20" i="3"/>
  <c r="G20" i="3"/>
  <c r="F20" i="3"/>
  <c r="E20" i="3"/>
  <c r="D20" i="3"/>
  <c r="C20" i="3"/>
  <c r="N17" i="3"/>
  <c r="M17" i="3"/>
  <c r="L17" i="3"/>
  <c r="K17" i="3"/>
  <c r="J17" i="3"/>
  <c r="I17" i="3"/>
  <c r="H17" i="3"/>
  <c r="G17" i="3"/>
  <c r="F17" i="3"/>
  <c r="E17" i="3"/>
  <c r="D17" i="3"/>
  <c r="C17" i="3"/>
  <c r="N14" i="3"/>
  <c r="M14" i="3"/>
  <c r="L14" i="3"/>
  <c r="K14" i="3"/>
  <c r="J14" i="3"/>
  <c r="I14" i="3"/>
  <c r="H14" i="3"/>
  <c r="G14" i="3"/>
  <c r="F14" i="3"/>
  <c r="E14" i="3"/>
  <c r="D14" i="3"/>
  <c r="C14" i="3"/>
  <c r="N11" i="3"/>
  <c r="M11" i="3"/>
  <c r="L11" i="3"/>
  <c r="K11" i="3"/>
  <c r="J11" i="3"/>
  <c r="I11" i="3"/>
  <c r="H11" i="3"/>
  <c r="G11" i="3"/>
  <c r="F11" i="3"/>
  <c r="E11" i="3"/>
  <c r="D11" i="3"/>
  <c r="C11" i="3"/>
  <c r="N8" i="3"/>
  <c r="M8" i="3"/>
  <c r="L8" i="3"/>
  <c r="K8" i="3"/>
  <c r="J8" i="3"/>
  <c r="I8" i="3"/>
  <c r="H8" i="3"/>
  <c r="G8" i="3"/>
  <c r="F8" i="3"/>
  <c r="E8" i="3"/>
  <c r="D8" i="3"/>
  <c r="C8" i="3"/>
  <c r="N5" i="3"/>
  <c r="N84" i="3" s="1"/>
  <c r="M4" i="7" s="1"/>
  <c r="M5" i="3"/>
  <c r="M84" i="3" s="1"/>
  <c r="L4" i="7" s="1"/>
  <c r="L5" i="3"/>
  <c r="L84" i="3" s="1"/>
  <c r="K4" i="7" s="1"/>
  <c r="K5" i="3"/>
  <c r="K84" i="3" s="1"/>
  <c r="J4" i="7" s="1"/>
  <c r="J5" i="3"/>
  <c r="J84" i="3" s="1"/>
  <c r="I4" i="7" s="1"/>
  <c r="I5" i="3"/>
  <c r="I84" i="3" s="1"/>
  <c r="H4" i="7" s="1"/>
  <c r="H5" i="3"/>
  <c r="H84" i="3" s="1"/>
  <c r="G4" i="7" s="1"/>
  <c r="G5" i="3"/>
  <c r="G84" i="3" s="1"/>
  <c r="F4" i="7" s="1"/>
  <c r="F5" i="3"/>
  <c r="F84" i="3" s="1"/>
  <c r="E4" i="7" s="1"/>
  <c r="E5" i="3"/>
  <c r="E84" i="3" s="1"/>
  <c r="D4" i="7" s="1"/>
  <c r="D5" i="3"/>
  <c r="D84" i="3" s="1"/>
  <c r="C4" i="7" s="1"/>
  <c r="C5" i="3"/>
  <c r="C84" i="3" s="1"/>
  <c r="N172" i="1"/>
  <c r="M172" i="1"/>
  <c r="L172" i="1"/>
  <c r="K172" i="1"/>
  <c r="J172" i="1"/>
  <c r="I172" i="1"/>
  <c r="H172" i="1"/>
  <c r="G172" i="1"/>
  <c r="F172" i="1"/>
  <c r="E172" i="1"/>
  <c r="D172" i="1"/>
  <c r="C172" i="1"/>
  <c r="N169" i="1"/>
  <c r="M169" i="1"/>
  <c r="L169" i="1"/>
  <c r="K169" i="1"/>
  <c r="J169" i="1"/>
  <c r="I169" i="1"/>
  <c r="H169" i="1"/>
  <c r="G169" i="1"/>
  <c r="F169" i="1"/>
  <c r="E169" i="1"/>
  <c r="D169" i="1"/>
  <c r="C169" i="1"/>
  <c r="N166" i="1"/>
  <c r="M166" i="1"/>
  <c r="L166" i="1"/>
  <c r="K166" i="1"/>
  <c r="J166" i="1"/>
  <c r="I166" i="1"/>
  <c r="H166" i="1"/>
  <c r="G166" i="1"/>
  <c r="F166" i="1"/>
  <c r="E166" i="1"/>
  <c r="D166" i="1"/>
  <c r="C166" i="1"/>
  <c r="N163" i="1"/>
  <c r="M163" i="1"/>
  <c r="L163" i="1"/>
  <c r="K163" i="1"/>
  <c r="J163" i="1"/>
  <c r="I163" i="1"/>
  <c r="H163" i="1"/>
  <c r="G163" i="1"/>
  <c r="F163" i="1"/>
  <c r="E163" i="1"/>
  <c r="D163" i="1"/>
  <c r="C163" i="1"/>
  <c r="N160" i="1"/>
  <c r="M160" i="1"/>
  <c r="L160" i="1"/>
  <c r="K160" i="1"/>
  <c r="J160" i="1"/>
  <c r="I160" i="1"/>
  <c r="H160" i="1"/>
  <c r="G160" i="1"/>
  <c r="F160" i="1"/>
  <c r="E160" i="1"/>
  <c r="D160" i="1"/>
  <c r="C160" i="1"/>
  <c r="N157" i="1"/>
  <c r="M157" i="1"/>
  <c r="L157" i="1"/>
  <c r="K157" i="1"/>
  <c r="J157" i="1"/>
  <c r="I157" i="1"/>
  <c r="H157" i="1"/>
  <c r="G157" i="1"/>
  <c r="F157" i="1"/>
  <c r="E157" i="1"/>
  <c r="D157" i="1"/>
  <c r="C157" i="1"/>
  <c r="N154" i="1"/>
  <c r="M154" i="1"/>
  <c r="L154" i="1"/>
  <c r="K154" i="1"/>
  <c r="J154" i="1"/>
  <c r="I154" i="1"/>
  <c r="H154" i="1"/>
  <c r="G154" i="1"/>
  <c r="F154" i="1"/>
  <c r="E154" i="1"/>
  <c r="D154" i="1"/>
  <c r="C154" i="1"/>
  <c r="N151" i="1"/>
  <c r="M151" i="1"/>
  <c r="L151" i="1"/>
  <c r="K151" i="1"/>
  <c r="J151" i="1"/>
  <c r="I151" i="1"/>
  <c r="H151" i="1"/>
  <c r="G151" i="1"/>
  <c r="F151" i="1"/>
  <c r="E151" i="1"/>
  <c r="D151" i="1"/>
  <c r="C151" i="1"/>
  <c r="N148" i="1"/>
  <c r="M148" i="1"/>
  <c r="L148" i="1"/>
  <c r="K148" i="1"/>
  <c r="J148" i="1"/>
  <c r="I148" i="1"/>
  <c r="H148" i="1"/>
  <c r="G148" i="1"/>
  <c r="F148" i="1"/>
  <c r="E148" i="1"/>
  <c r="D148" i="1"/>
  <c r="C148" i="1"/>
  <c r="N145" i="1"/>
  <c r="M145" i="1"/>
  <c r="L145" i="1"/>
  <c r="K145" i="1"/>
  <c r="J145" i="1"/>
  <c r="I145" i="1"/>
  <c r="H145" i="1"/>
  <c r="G145" i="1"/>
  <c r="F145" i="1"/>
  <c r="E145" i="1"/>
  <c r="D145" i="1"/>
  <c r="C145" i="1"/>
  <c r="N142" i="1"/>
  <c r="M142" i="1"/>
  <c r="L142" i="1"/>
  <c r="K142" i="1"/>
  <c r="J142" i="1"/>
  <c r="I142" i="1"/>
  <c r="H142" i="1"/>
  <c r="G142" i="1"/>
  <c r="F142" i="1"/>
  <c r="E142" i="1"/>
  <c r="D142" i="1"/>
  <c r="C142" i="1"/>
  <c r="N139" i="1"/>
  <c r="M139" i="1"/>
  <c r="L139" i="1"/>
  <c r="K139" i="1"/>
  <c r="J139" i="1"/>
  <c r="I139" i="1"/>
  <c r="H139" i="1"/>
  <c r="G139" i="1"/>
  <c r="F139" i="1"/>
  <c r="E139" i="1"/>
  <c r="D139" i="1"/>
  <c r="C139" i="1"/>
  <c r="N136" i="1"/>
  <c r="M136" i="1"/>
  <c r="L136" i="1"/>
  <c r="K136" i="1"/>
  <c r="J136" i="1"/>
  <c r="I136" i="1"/>
  <c r="H136" i="1"/>
  <c r="G136" i="1"/>
  <c r="F136" i="1"/>
  <c r="E136" i="1"/>
  <c r="D136" i="1"/>
  <c r="C136" i="1"/>
  <c r="N133" i="1"/>
  <c r="M133" i="1"/>
  <c r="L133" i="1"/>
  <c r="K133" i="1"/>
  <c r="J133" i="1"/>
  <c r="I133" i="1"/>
  <c r="H133" i="1"/>
  <c r="G133" i="1"/>
  <c r="F133" i="1"/>
  <c r="E133" i="1"/>
  <c r="D133" i="1"/>
  <c r="C133" i="1"/>
  <c r="N130" i="1"/>
  <c r="M130" i="1"/>
  <c r="L130" i="1"/>
  <c r="K130" i="1"/>
  <c r="J130" i="1"/>
  <c r="I130" i="1"/>
  <c r="H130" i="1"/>
  <c r="G130" i="1"/>
  <c r="F130" i="1"/>
  <c r="E130" i="1"/>
  <c r="D130" i="1"/>
  <c r="C130" i="1"/>
  <c r="N127" i="1"/>
  <c r="M127" i="1"/>
  <c r="L127" i="1"/>
  <c r="K127" i="1"/>
  <c r="J127" i="1"/>
  <c r="I127" i="1"/>
  <c r="H127" i="1"/>
  <c r="G127" i="1"/>
  <c r="F127" i="1"/>
  <c r="E127" i="1"/>
  <c r="D127" i="1"/>
  <c r="C127" i="1"/>
  <c r="N124" i="1"/>
  <c r="M124" i="1"/>
  <c r="L124" i="1"/>
  <c r="K124" i="1"/>
  <c r="J124" i="1"/>
  <c r="I124" i="1"/>
  <c r="H124" i="1"/>
  <c r="G124" i="1"/>
  <c r="F124" i="1"/>
  <c r="E124" i="1"/>
  <c r="D124" i="1"/>
  <c r="C124" i="1"/>
  <c r="N121" i="1"/>
  <c r="M121" i="1"/>
  <c r="L121" i="1"/>
  <c r="K121" i="1"/>
  <c r="J121" i="1"/>
  <c r="I121" i="1"/>
  <c r="H121" i="1"/>
  <c r="G121" i="1"/>
  <c r="F121" i="1"/>
  <c r="E121" i="1"/>
  <c r="D121" i="1"/>
  <c r="C121" i="1"/>
  <c r="N118" i="1"/>
  <c r="M118" i="1"/>
  <c r="L118" i="1"/>
  <c r="K118" i="1"/>
  <c r="J118" i="1"/>
  <c r="I118" i="1"/>
  <c r="H118" i="1"/>
  <c r="G118" i="1"/>
  <c r="F118" i="1"/>
  <c r="E118" i="1"/>
  <c r="D118" i="1"/>
  <c r="C118" i="1"/>
  <c r="N115" i="1"/>
  <c r="M115" i="1"/>
  <c r="L115" i="1"/>
  <c r="K115" i="1"/>
  <c r="J115" i="1"/>
  <c r="I115" i="1"/>
  <c r="H115" i="1"/>
  <c r="G115" i="1"/>
  <c r="F115" i="1"/>
  <c r="E115" i="1"/>
  <c r="D115" i="1"/>
  <c r="C115" i="1"/>
  <c r="N112" i="1"/>
  <c r="M112" i="1"/>
  <c r="L112" i="1"/>
  <c r="K112" i="1"/>
  <c r="J112" i="1"/>
  <c r="I112" i="1"/>
  <c r="H112" i="1"/>
  <c r="G112" i="1"/>
  <c r="F112" i="1"/>
  <c r="E112" i="1"/>
  <c r="D112" i="1"/>
  <c r="C112" i="1"/>
  <c r="N109" i="1"/>
  <c r="M109" i="1"/>
  <c r="L109" i="1"/>
  <c r="K109" i="1"/>
  <c r="J109" i="1"/>
  <c r="I109" i="1"/>
  <c r="H109" i="1"/>
  <c r="G109" i="1"/>
  <c r="F109" i="1"/>
  <c r="E109" i="1"/>
  <c r="D109" i="1"/>
  <c r="C109" i="1"/>
  <c r="N106" i="1"/>
  <c r="M106" i="1"/>
  <c r="L106" i="1"/>
  <c r="K106" i="1"/>
  <c r="J106" i="1"/>
  <c r="I106" i="1"/>
  <c r="H106" i="1"/>
  <c r="G106" i="1"/>
  <c r="F106" i="1"/>
  <c r="E106" i="1"/>
  <c r="D106" i="1"/>
  <c r="C106" i="1"/>
  <c r="N103" i="1"/>
  <c r="M103" i="1"/>
  <c r="L103" i="1"/>
  <c r="K103" i="1"/>
  <c r="J103" i="1"/>
  <c r="I103" i="1"/>
  <c r="H103" i="1"/>
  <c r="G103" i="1"/>
  <c r="F103" i="1"/>
  <c r="E103" i="1"/>
  <c r="D103" i="1"/>
  <c r="C103" i="1"/>
  <c r="N100" i="1"/>
  <c r="M100" i="1"/>
  <c r="L100" i="1"/>
  <c r="K100" i="1"/>
  <c r="J100" i="1"/>
  <c r="I100" i="1"/>
  <c r="H100" i="1"/>
  <c r="G100" i="1"/>
  <c r="F100" i="1"/>
  <c r="E100" i="1"/>
  <c r="D100" i="1"/>
  <c r="C100" i="1"/>
  <c r="N97" i="1"/>
  <c r="M97" i="1"/>
  <c r="L97" i="1"/>
  <c r="K97" i="1"/>
  <c r="J97" i="1"/>
  <c r="I97" i="1"/>
  <c r="H97" i="1"/>
  <c r="G97" i="1"/>
  <c r="F97" i="1"/>
  <c r="E97" i="1"/>
  <c r="D97" i="1"/>
  <c r="C97" i="1"/>
  <c r="N94" i="1"/>
  <c r="M94" i="1"/>
  <c r="L94" i="1"/>
  <c r="K94" i="1"/>
  <c r="J94" i="1"/>
  <c r="I94" i="1"/>
  <c r="H94" i="1"/>
  <c r="G94" i="1"/>
  <c r="F94" i="1"/>
  <c r="E94" i="1"/>
  <c r="D94" i="1"/>
  <c r="C94" i="1"/>
  <c r="N91" i="1"/>
  <c r="M91" i="1"/>
  <c r="L91" i="1"/>
  <c r="K91" i="1"/>
  <c r="J91" i="1"/>
  <c r="I91" i="1"/>
  <c r="H91" i="1"/>
  <c r="G91" i="1"/>
  <c r="F91" i="1"/>
  <c r="E91" i="1"/>
  <c r="D91" i="1"/>
  <c r="C91" i="1"/>
  <c r="N88" i="1"/>
  <c r="M88" i="1"/>
  <c r="L88" i="1"/>
  <c r="K88" i="1"/>
  <c r="J88" i="1"/>
  <c r="I88" i="1"/>
  <c r="H88" i="1"/>
  <c r="G88" i="1"/>
  <c r="F88" i="1"/>
  <c r="E88" i="1"/>
  <c r="D88" i="1"/>
  <c r="C88" i="1"/>
  <c r="N85" i="1"/>
  <c r="M85" i="1"/>
  <c r="L85" i="1"/>
  <c r="K85" i="1"/>
  <c r="J85" i="1"/>
  <c r="I85" i="1"/>
  <c r="H85" i="1"/>
  <c r="G85" i="1"/>
  <c r="F85" i="1"/>
  <c r="E85" i="1"/>
  <c r="D85" i="1"/>
  <c r="C85" i="1"/>
  <c r="F82" i="1"/>
  <c r="E82" i="1"/>
  <c r="D82" i="1"/>
  <c r="C82" i="1"/>
  <c r="N79" i="1"/>
  <c r="M79" i="1"/>
  <c r="L79" i="1"/>
  <c r="K79" i="1"/>
  <c r="J79" i="1"/>
  <c r="I79" i="1"/>
  <c r="H79" i="1"/>
  <c r="G79" i="1"/>
  <c r="F79" i="1"/>
  <c r="E79" i="1"/>
  <c r="D79" i="1"/>
  <c r="C79" i="1"/>
  <c r="N76" i="1"/>
  <c r="M76" i="1"/>
  <c r="L76" i="1"/>
  <c r="K76" i="1"/>
  <c r="J76" i="1"/>
  <c r="I76" i="1"/>
  <c r="H76" i="1"/>
  <c r="G76" i="1"/>
  <c r="F76" i="1"/>
  <c r="E76" i="1"/>
  <c r="D76" i="1"/>
  <c r="C76" i="1"/>
  <c r="N73" i="1"/>
  <c r="M73" i="1"/>
  <c r="L73" i="1"/>
  <c r="K73" i="1"/>
  <c r="J73" i="1"/>
  <c r="I73" i="1"/>
  <c r="H73" i="1"/>
  <c r="G73" i="1"/>
  <c r="F73" i="1"/>
  <c r="E73" i="1"/>
  <c r="D73" i="1"/>
  <c r="C73" i="1"/>
  <c r="F67" i="1"/>
  <c r="E67" i="1"/>
  <c r="D67" i="1"/>
  <c r="C67" i="1"/>
  <c r="N64" i="1"/>
  <c r="M64" i="1"/>
  <c r="L64" i="1"/>
  <c r="K64" i="1"/>
  <c r="J64" i="1"/>
  <c r="I64" i="1"/>
  <c r="H64" i="1"/>
  <c r="G64" i="1"/>
  <c r="F64" i="1"/>
  <c r="E64" i="1"/>
  <c r="D64" i="1"/>
  <c r="C64" i="1"/>
  <c r="N61" i="1"/>
  <c r="M61" i="1"/>
  <c r="L61" i="1"/>
  <c r="K61" i="1"/>
  <c r="J61" i="1"/>
  <c r="I61" i="1"/>
  <c r="H61" i="1"/>
  <c r="G61" i="1"/>
  <c r="F61" i="1"/>
  <c r="E61" i="1"/>
  <c r="D61" i="1"/>
  <c r="C61" i="1"/>
  <c r="V55" i="1"/>
  <c r="N55" i="1"/>
  <c r="M55" i="1"/>
  <c r="L55" i="1"/>
  <c r="K55" i="1"/>
  <c r="J55" i="1"/>
  <c r="I55" i="1"/>
  <c r="H55" i="1"/>
  <c r="G55" i="1"/>
  <c r="F55" i="1"/>
  <c r="E55" i="1"/>
  <c r="D55" i="1"/>
  <c r="C55" i="1"/>
  <c r="Y54" i="1"/>
  <c r="Y53" i="1"/>
  <c r="Y52" i="1"/>
  <c r="N52" i="1"/>
  <c r="M52" i="1"/>
  <c r="L52" i="1"/>
  <c r="I52" i="1"/>
  <c r="H52" i="1"/>
  <c r="E52" i="1"/>
  <c r="C52" i="1"/>
  <c r="Y51" i="1"/>
  <c r="Y50" i="1"/>
  <c r="Y49" i="1"/>
  <c r="N49" i="1"/>
  <c r="M49" i="1"/>
  <c r="L49" i="1"/>
  <c r="K49" i="1"/>
  <c r="J49" i="1"/>
  <c r="I49" i="1"/>
  <c r="G49" i="1"/>
  <c r="F49" i="1"/>
  <c r="D49" i="1"/>
  <c r="C49" i="1"/>
  <c r="Y48" i="1"/>
  <c r="Y47" i="1"/>
  <c r="Y46" i="1"/>
  <c r="E46" i="1"/>
  <c r="D46" i="1"/>
  <c r="C46" i="1"/>
  <c r="Y45" i="1"/>
  <c r="Y44" i="1"/>
  <c r="Y43" i="1"/>
  <c r="N43" i="1"/>
  <c r="M43" i="1"/>
  <c r="L43" i="1"/>
  <c r="H43" i="1"/>
  <c r="G43" i="1"/>
  <c r="F43" i="1"/>
  <c r="E43" i="1"/>
  <c r="D43" i="1"/>
  <c r="C43" i="1"/>
  <c r="Y42" i="1"/>
  <c r="Y41" i="1"/>
  <c r="Y40" i="1"/>
  <c r="N40" i="1"/>
  <c r="M40" i="1"/>
  <c r="L40" i="1"/>
  <c r="K40" i="1"/>
  <c r="J40" i="1"/>
  <c r="I40" i="1"/>
  <c r="H40" i="1"/>
  <c r="G40" i="1"/>
  <c r="F40" i="1"/>
  <c r="E40" i="1"/>
  <c r="D40" i="1"/>
  <c r="C40" i="1"/>
  <c r="Y39" i="1"/>
  <c r="Y38" i="1"/>
  <c r="Y37" i="1"/>
  <c r="N37" i="1"/>
  <c r="N173" i="1" s="1"/>
  <c r="M20" i="1" s="1"/>
  <c r="M21" i="1" s="1"/>
  <c r="M5" i="7" s="1"/>
  <c r="M37" i="1"/>
  <c r="M173" i="1" s="1"/>
  <c r="L20" i="1" s="1"/>
  <c r="L37" i="1"/>
  <c r="L173" i="1" s="1"/>
  <c r="K20" i="1" s="1"/>
  <c r="K37" i="1"/>
  <c r="K173" i="1" s="1"/>
  <c r="J20" i="1" s="1"/>
  <c r="J21" i="1" s="1"/>
  <c r="J5" i="7" s="1"/>
  <c r="J37" i="1"/>
  <c r="J173" i="1" s="1"/>
  <c r="I20" i="1" s="1"/>
  <c r="I21" i="1" s="1"/>
  <c r="I5" i="7" s="1"/>
  <c r="I37" i="1"/>
  <c r="I173" i="1" s="1"/>
  <c r="H20" i="1" s="1"/>
  <c r="H37" i="1"/>
  <c r="H173" i="1" s="1"/>
  <c r="G20" i="1" s="1"/>
  <c r="G37" i="1"/>
  <c r="G173" i="1" s="1"/>
  <c r="F20" i="1" s="1"/>
  <c r="F21" i="1" s="1"/>
  <c r="F5" i="7" s="1"/>
  <c r="F37" i="1"/>
  <c r="F173" i="1" s="1"/>
  <c r="E20" i="1" s="1"/>
  <c r="E21" i="1" s="1"/>
  <c r="E5" i="7" s="1"/>
  <c r="E37" i="1"/>
  <c r="E173" i="1" s="1"/>
  <c r="D20" i="1" s="1"/>
  <c r="D37" i="1"/>
  <c r="D173" i="1" s="1"/>
  <c r="C20" i="1" s="1"/>
  <c r="C37" i="1"/>
  <c r="C173" i="1" s="1"/>
  <c r="B20" i="1" s="1"/>
  <c r="B21" i="1" s="1"/>
  <c r="Y36" i="1"/>
  <c r="Y35" i="1"/>
  <c r="Y34" i="1"/>
  <c r="Y33" i="1"/>
  <c r="Y32" i="1"/>
  <c r="Y31" i="1"/>
  <c r="Y30" i="1"/>
  <c r="Y29" i="1"/>
  <c r="Y28" i="1"/>
  <c r="Y27" i="1"/>
  <c r="Y26" i="1"/>
  <c r="Y25" i="1"/>
  <c r="Y24" i="1"/>
  <c r="Y23" i="1"/>
  <c r="Y22" i="1"/>
  <c r="Y21" i="1"/>
  <c r="Y20" i="1"/>
  <c r="Y19" i="1"/>
  <c r="M19" i="1"/>
  <c r="L19" i="1"/>
  <c r="L21" i="1" s="1"/>
  <c r="L5" i="7" s="1"/>
  <c r="K19" i="1"/>
  <c r="K21" i="1" s="1"/>
  <c r="K5" i="7" s="1"/>
  <c r="J19" i="1"/>
  <c r="I19" i="1"/>
  <c r="H19" i="1"/>
  <c r="H21" i="1" s="1"/>
  <c r="H5" i="7" s="1"/>
  <c r="G19" i="1"/>
  <c r="G21" i="1" s="1"/>
  <c r="G5" i="7" s="1"/>
  <c r="F19" i="1"/>
  <c r="E19" i="1"/>
  <c r="D19" i="1"/>
  <c r="D21" i="1" s="1"/>
  <c r="D5" i="7" s="1"/>
  <c r="C19" i="1"/>
  <c r="C21" i="1" s="1"/>
  <c r="C5" i="7" s="1"/>
  <c r="B19" i="1"/>
  <c r="Y18" i="1"/>
  <c r="Y17" i="1"/>
  <c r="Y16" i="1"/>
  <c r="Y15" i="1"/>
  <c r="B15" i="1"/>
  <c r="Y14" i="1"/>
  <c r="Y13" i="1"/>
  <c r="Y12" i="1"/>
  <c r="Y11" i="1"/>
  <c r="Y10" i="1"/>
  <c r="Y9" i="1"/>
  <c r="Y8" i="1"/>
  <c r="Y7" i="1"/>
  <c r="Y55" i="1" s="1"/>
  <c r="B22" i="1" l="1"/>
  <c r="B5" i="7"/>
  <c r="N5" i="7" s="1"/>
  <c r="B4" i="7"/>
  <c r="C85" i="3"/>
  <c r="F6" i="7"/>
  <c r="J6" i="7"/>
  <c r="C6" i="7"/>
  <c r="G6" i="7"/>
  <c r="K6" i="7"/>
  <c r="D6" i="7"/>
  <c r="H6" i="7"/>
  <c r="L6" i="7"/>
  <c r="E6" i="7"/>
  <c r="I6" i="7"/>
  <c r="M6" i="7"/>
  <c r="B7" i="7" l="1"/>
  <c r="N4" i="7"/>
  <c r="B6" i="7"/>
  <c r="B8" i="7" l="1"/>
  <c r="N6" i="7"/>
  <c r="B9" i="7"/>
</calcChain>
</file>

<file path=xl/sharedStrings.xml><?xml version="1.0" encoding="utf-8"?>
<sst xmlns="http://schemas.openxmlformats.org/spreadsheetml/2006/main" count="791" uniqueCount="359">
  <si>
    <t>Vị trí/ chức danh</t>
  </si>
  <si>
    <t>Số lượng</t>
  </si>
  <si>
    <t>Người đảm nhiệm</t>
  </si>
  <si>
    <t>Bảng 3.4.2 Giá bán sản phẩm</t>
  </si>
  <si>
    <t>Mô tả nhiệm vụ</t>
  </si>
  <si>
    <t>Lương/tháng (1000đ)</t>
  </si>
  <si>
    <t>Tổng lương/năm (1000đ)</t>
  </si>
  <si>
    <t>Quản lý điều hành</t>
  </si>
  <si>
    <t>Chi phí cố định FC (nghìn vnđ)</t>
  </si>
  <si>
    <t>STT</t>
  </si>
  <si>
    <t>Sản phẩm</t>
  </si>
  <si>
    <t>Chi phí</t>
  </si>
  <si>
    <t>Giá bán của DN (10.000đ)</t>
  </si>
  <si>
    <t>Giá bán của đối thủ (10.000đ)</t>
  </si>
  <si>
    <t>Nguyễn Quang Huy</t>
  </si>
  <si>
    <t>2025-2026</t>
  </si>
  <si>
    <t>Cà phê đen</t>
  </si>
  <si>
    <t>- Chịu trách nhiệm chung về hoạt động của quán. - Quản lý tài chính (doanh thu, chi phí), báo cáo hàng ngày/tuần. - Quản lý nhân sự: Sắp xếp lịch làm việc, chấm công, giải quyết các vấn đề phát sinh. - Quản lý kho: Kiểm kê, đặt hàng nguyên vật liệu. - Chăm sóc khách hàng và xử lý phàn nàn. - Lên kế hoạch marketing, khuyến mãi.</t>
  </si>
  <si>
    <t>Cà phê sữa</t>
  </si>
  <si>
    <t>14.000đ</t>
  </si>
  <si>
    <t>168000đ</t>
  </si>
  <si>
    <t>Espresso</t>
  </si>
  <si>
    <t>Americano</t>
  </si>
  <si>
    <t>Bạc Xỉu</t>
  </si>
  <si>
    <t>Thu ngân &amp; Phục vụ</t>
  </si>
  <si>
    <t>Trà hoa quả</t>
  </si>
  <si>
    <t>Đinh Văn Thiện-Thái Gia Bảo - Nguyễn Hải Yến</t>
  </si>
  <si>
    <t>Trà đào cam sả</t>
  </si>
  <si>
    <t>Chào đón khách hàng.
- Ghi nhận order, giới thiệu menu và các chương trình khuyến mãi.
- Thực hiện thao tác thanh toán trên máy POS.
- Bưng bê, phục vụ đồ uống và đồ ăn nhẹ cho khách.
- Dọn dẹp và giữ vệ sinh khu vực khách ngồi.
- Hỗ trợ khách hàng trong suốt quá trình trải nghiệm tại quán.</t>
  </si>
  <si>
    <t>6.500x6=39.000đ</t>
  </si>
  <si>
    <t>Trà chanh leo</t>
  </si>
  <si>
    <t>468000đ</t>
  </si>
  <si>
    <t>Trà sen vàng</t>
  </si>
  <si>
    <t>Nhân viên pha chế</t>
  </si>
  <si>
    <t>Trà sữa olong đường đen</t>
  </si>
  <si>
    <t>Tên tài sản</t>
  </si>
  <si>
    <t>Trà sữa olong matcha</t>
  </si>
  <si>
    <t>Loại tài sản</t>
  </si>
  <si>
    <t>Trà sữa truyền thống</t>
  </si>
  <si>
    <t>Đơn vị</t>
  </si>
  <si>
    <t>Đơn giá</t>
  </si>
  <si>
    <t>Hồng trà kem cheese</t>
  </si>
  <si>
    <t>Trà táo/cam quế</t>
  </si>
  <si>
    <t>Tổng tiền</t>
  </si>
  <si>
    <t>Thời gian sử dụng (tháng)</t>
  </si>
  <si>
    <t>Khấu hao tài sản cố định</t>
  </si>
  <si>
    <t>Nguyễn Trung Hiếu</t>
  </si>
  <si>
    <t>Phân bổ chi phí CCDC</t>
  </si>
  <si>
    <t>Pha chế đồ uống theo đúng công thức và tiêu chuẩn.
- Tư vấn menu, giới thiệu đồ uống cho khách.
- Giữ gìn vệ sinh khu vực quầy bar và các thiết bị.
- Hỗ trợ Barista Trưởng kiểm tra và chuẩn bị nguyên liệu.</t>
  </si>
  <si>
    <t>7.000x4 = 28.000đ</t>
  </si>
  <si>
    <t>336.000đ</t>
  </si>
  <si>
    <t>Trà lựu việt quất</t>
  </si>
  <si>
    <t>45-50</t>
  </si>
  <si>
    <t>Trà dâu tằm</t>
  </si>
  <si>
    <t>Nước ép</t>
  </si>
  <si>
    <t>Phạm Minh Đức</t>
  </si>
  <si>
    <t>T9</t>
  </si>
  <si>
    <t>Sinh tố bơ</t>
  </si>
  <si>
    <t>Thị trường &amp; Marketing</t>
  </si>
  <si>
    <t>Sinh tố xoài</t>
  </si>
  <si>
    <t>Nguyễn Hữu Dương</t>
  </si>
  <si>
    <t>T10</t>
  </si>
  <si>
    <t>T11</t>
  </si>
  <si>
    <t>Nghiên cứu thị trường, phân tích khách hàng và đối thủ.
Xây dựng chiến lược marketing, truyền thông và quảng bá thương hiệu.
Triển khai các hoạt động bán hàng, chăm sóc khách hàng và phát triển thị trường.</t>
  </si>
  <si>
    <t>8.000đ</t>
  </si>
  <si>
    <t>T12</t>
  </si>
  <si>
    <t>96.000đ</t>
  </si>
  <si>
    <t>Sinh tố dâu</t>
  </si>
  <si>
    <t>T1</t>
  </si>
  <si>
    <t>Tổng</t>
  </si>
  <si>
    <t>T2</t>
  </si>
  <si>
    <t>T3</t>
  </si>
  <si>
    <t>T4</t>
  </si>
  <si>
    <t>T5</t>
  </si>
  <si>
    <t>T6</t>
  </si>
  <si>
    <t>T7</t>
  </si>
  <si>
    <t>T8</t>
  </si>
  <si>
    <t>Matcha đá xay</t>
  </si>
  <si>
    <t>(1000đ)</t>
  </si>
  <si>
    <t>Socola đá xay</t>
  </si>
  <si>
    <t>Thuê mặt bằng</t>
  </si>
  <si>
    <t>Cookies &amp; cream đá xay</t>
  </si>
  <si>
    <t>Ca cao nóng</t>
  </si>
  <si>
    <t>Trà gừng mật ong</t>
  </si>
  <si>
    <t>Trà hoa cúc</t>
  </si>
  <si>
    <t>89.000đ</t>
  </si>
  <si>
    <t>1.068.000đ</t>
  </si>
  <si>
    <t>Combo học tập/ nghỉ ngắn</t>
  </si>
  <si>
    <t>Chỉ tiêu</t>
  </si>
  <si>
    <t>Máy pha cà phê 2 group</t>
  </si>
  <si>
    <t>TSCĐ</t>
  </si>
  <si>
    <t>Cái</t>
  </si>
  <si>
    <t>Sản lượng</t>
  </si>
  <si>
    <t>Trả lương</t>
  </si>
  <si>
    <t>Giá bán (nghìn vnđ)</t>
  </si>
  <si>
    <t>Máy xay cà phê</t>
  </si>
  <si>
    <t>CCDC</t>
  </si>
  <si>
    <t>Doanh thu (nghìn vnđ)</t>
  </si>
  <si>
    <t>Các phương pháp xúc tiến</t>
  </si>
  <si>
    <t>Chi tiết</t>
  </si>
  <si>
    <t>Chi phí (1000đ)/ tháng</t>
  </si>
  <si>
    <t>Khấu hao, phân bổ (máy pha, nội thất, thiết bị)</t>
  </si>
  <si>
    <t>TT</t>
  </si>
  <si>
    <t>Mô tả</t>
  </si>
  <si>
    <t>Lợi thế</t>
  </si>
  <si>
    <t>Chiến dịch quảng cáo trực tuyến</t>
  </si>
  <si>
    <t>GD1: 10/10–20/10: Tặng nhân dịp khai trương + quảng cáo Google, Facebook Ads
GD2: 25/10–30/10`: Tổ chức trải nghiệm “Ngày học thử – uống miễn phí”
GĐ3: Chạy ads thường xuyên (với nội dung sáng tạo theo trend)</t>
  </si>
  <si>
    <t>Máy đánh sữa / tạo bọt</t>
  </si>
  <si>
    <t>PR</t>
  </si>
  <si>
    <t>Viết bài chia sẻ trên fanpage sinh viên, group học tập, báo địa phương</t>
  </si>
  <si>
    <t>Rang xay nguyên chất từ hạt cà phê Mộc Châu, đảm bảo tiêu chuẩn VietGAP</t>
  </si>
  <si>
    <t>Hương vị đậm đà, nguyên bản – nguồn gốc sạch</t>
  </si>
  <si>
    <t>Xúc tiến bán</t>
  </si>
  <si>
    <t>GD1: 10/10-15/10: Tặng đồ uống khi đặt bàn học nhóm ≥ 3 người
GD2: Mua 4 tặng 1 đồ uống</t>
  </si>
  <si>
    <t>Bán hàng cá nhân</t>
  </si>
  <si>
    <t>Nhân viên tư vấn combo, upsell đồ uống kèm combo phòng học</t>
  </si>
  <si>
    <t>Marketing trực tiếp</t>
  </si>
  <si>
    <t>Email, tin nhắn giới thiệu ưu đãi cho khách hàng cũ</t>
  </si>
  <si>
    <t>Thuế môn bài</t>
  </si>
  <si>
    <t>Pha chế theo công thức riêng, kết hợp giữa cà phê nguyên chất và sữa đặc</t>
  </si>
  <si>
    <t>Hương vị cân bằng, hợp gu giới trẻ</t>
  </si>
  <si>
    <t>Ấm đun nước siêu tốc công nghiệp</t>
  </si>
  <si>
    <t>Rang xay cà phê Ý nguyên chất pha bằng máy, vị đậm mạnh</t>
  </si>
  <si>
    <t>Dành cho người cần tỉnh táo, yêu vị cà phê nguyên bản</t>
  </si>
  <si>
    <t>Rang xay cà phê Ý nguyên chất pha bằng máy, vị nhẹ hơn espresso</t>
  </si>
  <si>
    <t>Hương vị nhẹ nhàng dễ uống hơn hơn espresso</t>
  </si>
  <si>
    <t>Triết xuất cafe truyền thống ra và cho 1 lượng vừa đủ vào sau đó đánh bông lên và đổ sữa đặc vào.</t>
  </si>
  <si>
    <t>Hương vị nhẹ nhàng có chút ngọt của sữa đặc rất phù hợp nữ giới.</t>
  </si>
  <si>
    <t>Phí dkkd</t>
  </si>
  <si>
    <t>Trà tươi pha cùng trái cây tự nhiên, không phẩm màu</t>
  </si>
  <si>
    <t>Giải khát, tốt cho sức khỏe</t>
  </si>
  <si>
    <t>Trà kèm lát đào được cắt 1 cách tinh xảo và vừa miệng, 1 lát cam tươi sạch và sả tươi làm cốc trà trở nên đặc sắc hơn.</t>
  </si>
  <si>
    <t>Giúp giải khát, thơm, bắt trend</t>
  </si>
  <si>
    <t>Bình ủ trà / bình ủ sữa</t>
  </si>
  <si>
    <t>Nốt cốt chanh leo được tự tay nhân viên triết ra và được pha cùng 1 chút trà xanh .</t>
  </si>
  <si>
    <t>Thanh mát, hợp sinh viên</t>
  </si>
  <si>
    <t>Marketing</t>
  </si>
  <si>
    <t>Lấy hạt sen là đồ decor và thưởng thức,sau đó lấy trà olong ra pha.</t>
  </si>
  <si>
    <t>Thanh mát, thư giãn, hợp người thích vị nhẹ</t>
  </si>
  <si>
    <t>Trà olong pha với sữa dùng đường đen decord sau đó cho trân châu vào.</t>
  </si>
  <si>
    <t>Hot trend, hợp giới trẻ, dễ bán</t>
  </si>
  <si>
    <t>giá bán (nghìn vnđ)</t>
  </si>
  <si>
    <t>Máy lắc trà / bình shaker</t>
  </si>
  <si>
    <t>Bộ</t>
  </si>
  <si>
    <t>Trà olong kết hợp với matcha hòa cùng sữa tươi hoặc sữa béo, thêm thạch/trân châu.</t>
  </si>
  <si>
    <t>Hợp gu học sinh – sinh viên yêu vị trà xanh</t>
  </si>
  <si>
    <t>Trà đen hoặc olong pha với sữa, ngọt vừa.</t>
  </si>
  <si>
    <t>Giá rẻ, dễ uống, hợp nhiều đối tượng</t>
  </si>
  <si>
    <t>Điện nước vp</t>
  </si>
  <si>
    <t>Trà đen, phía trên là lớp kem cheese béo mặn nhẹ</t>
  </si>
  <si>
    <t>Theo trend các quán hiện nay, đẹp mắt, dễ hút khách</t>
  </si>
  <si>
    <t>Bảng 3.7.3 Ước tính lợi nhuận</t>
  </si>
  <si>
    <t>Trà nóng/đá pha cùng táo/cam và quế thanh, không phẩm màu</t>
  </si>
  <si>
    <t>Giúp làm ấm cơ thể, hợp mùa lạnh hoặc detox</t>
  </si>
  <si>
    <t>Máy hàn miệng ly nhựa</t>
  </si>
  <si>
    <t>Trà trái cây mix với syrup lựu – việt quất</t>
  </si>
  <si>
    <t>Vị chua nhẹ, màu bắt mắt, hợp chụp ảnh</t>
  </si>
  <si>
    <t>Trà hoặc nước dâu tằm kết hợp đá hoặc topping</t>
  </si>
  <si>
    <t>Vị ngọt chua, dễ uống, hợp nữ sinh và teen</t>
  </si>
  <si>
    <t>Nước ép cam, táo, cà rốt, dưa hấu, ép lạnh giữ nguyên dưỡng chất</t>
  </si>
  <si>
    <t>Phục vụ khách hàng quan tâm sức khỏe</t>
  </si>
  <si>
    <t>Bơ chín xay cùng sữa đặc hoặc sữa tươi</t>
  </si>
  <si>
    <t>Béo ngậy, bổ dưỡng, hợp nhiều đối tượng</t>
  </si>
  <si>
    <t>Khác (bảo trì, vệ sinh, wifi, dụng cụ…)</t>
  </si>
  <si>
    <t>Xoài chín xay với đá và sữa</t>
  </si>
  <si>
    <t>Hợp mùa hè, dễ bán</t>
  </si>
  <si>
    <t>Máy định lượng đường &amp; sữa</t>
  </si>
  <si>
    <t>Dâu tươi hoặc đông lạnh xay cùng sữa</t>
  </si>
  <si>
    <t>Màu đẹp, vị chua ngọt, hợp nữ giới</t>
  </si>
  <si>
    <t>Matcha xay đá với kem hoặc sữa</t>
  </si>
  <si>
    <t>Món “ăn liền” cho giới trẻ</t>
  </si>
  <si>
    <t>Bột cacao hoặc socola xay đá, thêm kem tươi</t>
  </si>
  <si>
    <t>Hợp học sinh và người thích đồ ngọt</t>
  </si>
  <si>
    <t>Sữa tươi, kem béo và bánh Oreo xay nhuyễn</t>
  </si>
  <si>
    <t>Tổng FC</t>
  </si>
  <si>
    <t>Đồ uống tráng miệng, dễ bán thêm</t>
  </si>
  <si>
    <t>Bột cacao pha sữa khuấy lên và cho nước nóng vào</t>
  </si>
  <si>
    <t>Thích hợp mùa lạnh, thư giãn</t>
  </si>
  <si>
    <t>Doanh thu</t>
  </si>
  <si>
    <t>Bình pha trà / bình lọc trà</t>
  </si>
  <si>
    <t>Gừng tươi pha với mật ong và nước ấm</t>
  </si>
  <si>
    <t>Tăng đề kháng, tốt cho họng</t>
  </si>
  <si>
    <t>Hoa cúc khô pha nước nóng, có thể thêm mật ong</t>
  </si>
  <si>
    <t>Giúp thư giãn, ngủ ngon</t>
  </si>
  <si>
    <t>Tổng FC Cả Năm</t>
  </si>
  <si>
    <t>Gói combo gồm đồ uống + không gian học tập hoặc nghỉ ngắn trong 2 giờ</t>
  </si>
  <si>
    <t>Mô hình mới lạ, thu hút sinh viên và nhân viên văn phòng</t>
  </si>
  <si>
    <t>Doanh thu nghìn vnđ)</t>
  </si>
  <si>
    <t>Tủ lạnh trữ sữa</t>
  </si>
  <si>
    <t>Ước tính chi phí</t>
  </si>
  <si>
    <t xml:space="preserve">Tủ đông nhỏ trữ đá </t>
  </si>
  <si>
    <t>Máy xay sinh tố công nghiệp</t>
  </si>
  <si>
    <t>Lợi nhuận</t>
  </si>
  <si>
    <t>Nồi nấu trân châu tự động</t>
  </si>
  <si>
    <t>Tổng Lợi nhuận theo năm
(nghìn vnđ)</t>
  </si>
  <si>
    <t>Chi phí cố định</t>
  </si>
  <si>
    <t>Tỷ suất lợi nhuận/ doanh thu ROS</t>
  </si>
  <si>
    <t>Tỷ suất lợi nhuận/ vốn đầu tư ROI</t>
  </si>
  <si>
    <t>Kệ inox để máy pha chế</t>
  </si>
  <si>
    <t>Chi phí biến đổi</t>
  </si>
  <si>
    <t>Kệ trưng bày snack / bánh</t>
  </si>
  <si>
    <t>Tổng chi phí
hàng tháng</t>
  </si>
  <si>
    <t>Bồn rửa chén + vòi nước</t>
  </si>
  <si>
    <t>Tổng chi phí theo năm</t>
  </si>
  <si>
    <t>Hệ thống hút mùi nhỏ</t>
  </si>
  <si>
    <t>Quạt thông gió</t>
  </si>
  <si>
    <t>Bộ dụng cụ pha chế</t>
  </si>
  <si>
    <t>3.7.3 Dựa báo lợi nhuận</t>
  </si>
  <si>
    <t>Kệ để ly, tách, đĩa</t>
  </si>
  <si>
    <t>Bàn pha chế inox</t>
  </si>
  <si>
    <t>Cân điện tử mini</t>
  </si>
  <si>
    <t>Bộ dao, thớt, khay chuẩn bị nguyên liệu</t>
  </si>
  <si>
    <t>Khay đựng topping / khay inox lạnh</t>
  </si>
  <si>
    <t>Kệ trưng bày sách</t>
  </si>
  <si>
    <t>Sách,Truyện</t>
  </si>
  <si>
    <t>Cuốn</t>
  </si>
  <si>
    <t>Màn hình TV</t>
  </si>
  <si>
    <t>Loa Bluetooth</t>
  </si>
  <si>
    <t>Nguyên vật liệu</t>
  </si>
  <si>
    <t>Đèn đọc sách</t>
  </si>
  <si>
    <t>Cà phê rang xay (phin)</t>
  </si>
  <si>
    <t>Giá mua</t>
  </si>
  <si>
    <t>Bảng thông báo / menu</t>
  </si>
  <si>
    <t>Khối lượng (kg)</t>
  </si>
  <si>
    <t>Bảng 3.7.4.1 Ước tính vốn khởi nghiệp</t>
  </si>
  <si>
    <t>Máy điều hòa treo tường</t>
  </si>
  <si>
    <t>Loại Nguồn vốn</t>
  </si>
  <si>
    <t>Nguồn</t>
  </si>
  <si>
    <t>Thành tiền</t>
  </si>
  <si>
    <t>Số tiền</t>
  </si>
  <si>
    <t>Diễn giải</t>
  </si>
  <si>
    <t xml:space="preserve">Nước ép </t>
  </si>
  <si>
    <t>số tiền (1000đ)</t>
  </si>
  <si>
    <t>Vốn chủ sở hữu</t>
  </si>
  <si>
    <t>Quạt treo tường bổ trợ</t>
  </si>
  <si>
    <t>Cà phê hạt espresso</t>
  </si>
  <si>
    <t>tích góp khi đi làm</t>
  </si>
  <si>
    <t>1. Vốn cố định</t>
  </si>
  <si>
    <t>Bình chữa cháy mini (CO2)</t>
  </si>
  <si>
    <t>Vốn ban đầu cho quán cafe</t>
  </si>
  <si>
    <t>Đinh Văn Thiện</t>
  </si>
  <si>
    <t>Khối lượng 
(kg)</t>
  </si>
  <si>
    <t xml:space="preserve">phí đkkd </t>
  </si>
  <si>
    <t>Thùng rác inox nắp đạp</t>
  </si>
  <si>
    <t>Bàn thu ngân</t>
  </si>
  <si>
    <t>Thái Gia Bảo</t>
  </si>
  <si>
    <t>Sữa đặc</t>
  </si>
  <si>
    <t>sửa chữa mặt bằng</t>
  </si>
  <si>
    <t>Nguyễn Hải Yến</t>
  </si>
  <si>
    <t>mua trang thiết bị</t>
  </si>
  <si>
    <t>Máy tính POS cảm ứng</t>
  </si>
  <si>
    <t>2. Vốn lưu động</t>
  </si>
  <si>
    <t>Khối lượng (lon)</t>
  </si>
  <si>
    <t>Nguyễn Quang Hiếu</t>
  </si>
  <si>
    <t>Máy in bill nhiệt</t>
  </si>
  <si>
    <t>Vốn vay</t>
  </si>
  <si>
    <t>Tổng ( nghìn vnđ)</t>
  </si>
  <si>
    <t>TỔNG</t>
  </si>
  <si>
    <t>Ngăn kéo đựng tiền</t>
  </si>
  <si>
    <t>Sữa tươi không đường</t>
  </si>
  <si>
    <t>ĐIện, nước, vpp</t>
  </si>
  <si>
    <t>Máy quét mã QR</t>
  </si>
  <si>
    <t>Khác</t>
  </si>
  <si>
    <t>cf nhập hàng</t>
  </si>
  <si>
    <t>Số lượng (hộp)</t>
  </si>
  <si>
    <t>Camera quan sát</t>
  </si>
  <si>
    <t>3. Vốn dự phòng</t>
  </si>
  <si>
    <t>Bộ mạng Wi-Fi / Router</t>
  </si>
  <si>
    <t>Nước cốt dừa</t>
  </si>
  <si>
    <t>Tổng vốn khởi nghiệp</t>
  </si>
  <si>
    <t>32.5</t>
  </si>
  <si>
    <t>Chổi quét nhà</t>
  </si>
  <si>
    <t>Cây hót rác</t>
  </si>
  <si>
    <t>Cây lau nhà</t>
  </si>
  <si>
    <t>Đường cát trắng</t>
  </si>
  <si>
    <t>Nước rửa tay</t>
  </si>
  <si>
    <t>Khối lượng (túi)</t>
  </si>
  <si>
    <t>Đồng hồ</t>
  </si>
  <si>
    <t>Biển hiệu lớn</t>
  </si>
  <si>
    <t>Bột ca cao</t>
  </si>
  <si>
    <t>Biển hiệu nhỏ</t>
  </si>
  <si>
    <t>Khối lượng(kg)</t>
  </si>
  <si>
    <t>ổ cắm điện</t>
  </si>
  <si>
    <t>Tổng doanh thu theo tháng (1000đ)</t>
  </si>
  <si>
    <t>Syrup (caramel, vanilla, chocolate)</t>
  </si>
  <si>
    <t>Tổng doanh thu theo năm (1000đ)</t>
  </si>
  <si>
    <t>Số lượng(Chai(1L))</t>
  </si>
  <si>
    <t>Dự báo rủi ro</t>
  </si>
  <si>
    <t>Đánh giá mức độ ảnh hưởng</t>
  </si>
  <si>
    <t>Giải pháp kiểm soát, phòng ngừa và ứng phó</t>
  </si>
  <si>
    <t>Rủi ro cạnh tranh: Sự xuất hiện của các quán café mới, mô hình tương tự</t>
  </si>
  <si>
    <t>Cao</t>
  </si>
  <si>
    <t>Kem béo / whipping</t>
  </si>
  <si>
    <t>- Nghiên cứu thị trường thường xuyên, đổi mới menu và không gian.
- Tăng chất lượng phục vụ, tạo trải nghiệm riêng biệt (âm nhạc nhẹ, góc đọc yên tĩnh).
- Duy trì mối quan hệ khách hàng thân thiết qua ưu đãi, thẻ thành viên.</t>
  </si>
  <si>
    <t>Rủi ro pháp lý: Thiếu giấy phép kinh doanh, vi phạm quy định về vệ sinh an toàn thực phẩm hoặc PCCC</t>
  </si>
  <si>
    <t>So Luong(Hộp(1L))</t>
  </si>
  <si>
    <t>- Đăng ký đầy đủ giấy phép kinh doanh, an toàn thực phẩm, PCCC.
- Đào tạo nhân viên về quy định pháp luật, kiểm tra định kỳ.</t>
  </si>
  <si>
    <t>Rủi ro kinh tế: Giá nguyên liệu tăng, doanh thu giảm do suy thoái hoặc thay đổi xu hướng tiêu dùng</t>
  </si>
  <si>
    <t>Trung bình - cao</t>
  </si>
  <si>
    <t>- Dự trữ nguyên liệu dài hạn, chọn nhà cung cấp ổn định.
- Đa dạng nguồn doanh thu (bán mang đi, cho thuê phòng học riêng).
- Theo dõi chi phí, tối ưu vận hành.</t>
  </si>
  <si>
    <t>Rủi ro thiên tai: Mưa bão, ngập lụt ảnh hưởng hoạt động kinh doanh</t>
  </si>
  <si>
    <t>Thấp - trung bình</t>
  </si>
  <si>
    <t>- Chọn vị trí quán cao ráo, có hệ thống thoát nước tốt.
- Mua bảo hiểm tài sản và rủi ro thiên tai.
- Chuẩn bị kế hoạch đóng/mở linh hoạt.</t>
  </si>
  <si>
    <t>Rủi ro nhân sự: Nhân viên nghỉ đột xuất, phục vụ kém, gian lận tài chính</t>
  </si>
  <si>
    <t>Trung bình</t>
  </si>
  <si>
    <t>- Có chính sách đãi ngộ tốt, đào tạo kỹ năng phục vụ.
- Sử dụng phần mềm quản lý bán hàng minh bạch.
- Dự phòng nhân sự thay thế tạm thời.</t>
  </si>
  <si>
    <t>Rủi ro khách hàng: Phản hồi xấu, sự cố an toàn (mất đồ, va chạm…)</t>
  </si>
  <si>
    <t>Đá viên</t>
  </si>
  <si>
    <t>- Lắp camera an ninh, có nhân viên trực khu vực đọc – nghỉ.
- Lắng nghe phản hồi khách hàng, xử lý kịp thời.
- Quy định rõ nội quy sử dụng phòng đọc/nghỉ.</t>
  </si>
  <si>
    <t>Rủi ro sức khỏe – vệ sinh: Thực phẩm hỏng, khách ngộ độc, dịch bệnh</t>
  </si>
  <si>
    <t>- Bảo quản nguyên liệu đúng quy trình, chọn nguồn cung uy tín.
- Đảm bảo vệ sinh trong pha chế và phục vụ.
- Khử khuẩn định kỳ và tuân thủ quy định y tế.</t>
  </si>
  <si>
    <t>Rủi ro tài chính: Thiếu vốn duy trì hoạt động giai đoạn đầu</t>
  </si>
  <si>
    <t>- Dự phòng vốn lưu động ít nhất 3–6 tháng.
- Theo dõi dòng tiền và lập kế hoạch tài chính chi tiết.
- Huy động vốn từ đối tác hoặc người thân khi cần.</t>
  </si>
  <si>
    <t>Khối lượng (cái)</t>
  </si>
  <si>
    <t>Ly nhựa</t>
  </si>
  <si>
    <t>0.5</t>
  </si>
  <si>
    <t>0.55</t>
  </si>
  <si>
    <t>Nắp ly</t>
  </si>
  <si>
    <t>Ống hút</t>
  </si>
  <si>
    <t>Túi mang đi</t>
  </si>
  <si>
    <t>Muỗng khuấy</t>
  </si>
  <si>
    <t>Khăn giấy</t>
  </si>
  <si>
    <t>Dưa hấu</t>
  </si>
  <si>
    <t>Cam tươi (cam vàng / cam sành)</t>
  </si>
  <si>
    <t>Muối tinh</t>
  </si>
  <si>
    <t>Trà đen (Hồng trà khô)</t>
  </si>
  <si>
    <t>Bột matcha Nhật (loại trung cấp)</t>
  </si>
  <si>
    <t>Bột cacao đen</t>
  </si>
  <si>
    <t>Khối lượng (Túi)</t>
  </si>
  <si>
    <t>Bột kem béo</t>
  </si>
  <si>
    <t>Trân châu đen (loại khô)</t>
  </si>
  <si>
    <t>Khối lượng ( gói (1kg))</t>
  </si>
  <si>
    <t>gói(kg)</t>
  </si>
  <si>
    <t>Bột hồng trà hòa tan</t>
  </si>
  <si>
    <t>Thạch đào (miếng)</t>
  </si>
  <si>
    <t>Thạch dâu tây</t>
  </si>
  <si>
    <t>Trân châu trắng</t>
  </si>
  <si>
    <t>Thạch nha đam</t>
  </si>
  <si>
    <t>Hũ(1 kg)</t>
  </si>
  <si>
    <t>Mứt đào miếng (hoặc đào ngâm)</t>
  </si>
  <si>
    <t>Trà xanh (loại dùng pha đồ uống)</t>
  </si>
  <si>
    <t>chai(500ml)</t>
  </si>
  <si>
    <t>Nước cốt chanh tươi</t>
  </si>
  <si>
    <t>Hũ(500g)</t>
  </si>
  <si>
    <t>Mứt dâu tây</t>
  </si>
  <si>
    <t>Lá bạc hà tươi</t>
  </si>
  <si>
    <t>Bánh bông lan trứng muối mini</t>
  </si>
  <si>
    <t>Cookie socola</t>
  </si>
  <si>
    <t>Muffin trà xanh</t>
  </si>
  <si>
    <t>Tiramisu mini</t>
  </si>
  <si>
    <t>Cupcake vani</t>
  </si>
  <si>
    <t>Su kem (Cream Puff)</t>
  </si>
  <si>
    <t>Bánh mì mini xúc xích</t>
  </si>
  <si>
    <t>Mini sandwich phô mai nguội</t>
  </si>
  <si>
    <t>gói(100g)</t>
  </si>
  <si>
    <t>Khoai tây lát giòn (đóng gói)</t>
  </si>
  <si>
    <t>Bánh gạo giòn vị (Đóng gói)</t>
  </si>
  <si>
    <t>Chanh leo</t>
  </si>
  <si>
    <t xml:space="preserve">Tổng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</si>
</sst>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164" formatCode="#,##0_);\(#.##0\)"/>
    <numFmt numFmtId="165" formatCode="d\.m"/>
  </numFmts>
  <fonts count="28">
    <font>
      <sz val="10"/>
      <color rgb="FF000000"/>
      <name val="Arial"/>
      <scheme val="minor"/>
    </font>
    <font>
      <sz val="11"/>
      <color theme="1"/>
      <name val="Arial"/>
      <scheme val="minor"/>
    </font>
    <font>
      <b/>
      <sz val="10"/>
      <color theme="1"/>
      <name val="Arial"/>
      <scheme val="minor"/>
    </font>
    <font>
      <b/>
      <sz val="12"/>
      <color rgb="FF000000"/>
      <name val="'Times New Roman'"/>
    </font>
    <font>
      <b/>
      <sz val="13"/>
      <color rgb="FF000000"/>
      <name val="'Times New Roman'"/>
    </font>
    <font>
      <b/>
      <sz val="11"/>
      <color rgb="FF000000"/>
      <name val="'Times New Roman'"/>
    </font>
    <font>
      <sz val="10"/>
      <color theme="1"/>
      <name val="Arial"/>
      <scheme val="minor"/>
    </font>
    <font>
      <b/>
      <i/>
      <sz val="11"/>
      <color theme="1"/>
      <name val="Arial"/>
      <scheme val="minor"/>
    </font>
    <font>
      <sz val="12"/>
      <color rgb="FF000000"/>
      <name val="'Times New Roman'"/>
    </font>
    <font>
      <sz val="11"/>
      <color theme="1"/>
      <name val="Times New Roman"/>
    </font>
    <font>
      <sz val="10"/>
      <name val="Arial"/>
    </font>
    <font>
      <sz val="13"/>
      <color rgb="FF000000"/>
      <name val="'Times New Roman'"/>
    </font>
    <font>
      <b/>
      <sz val="11"/>
      <color theme="1"/>
      <name val="Times New Roman"/>
    </font>
    <font>
      <b/>
      <sz val="13"/>
      <color theme="1"/>
      <name val="Times New Roman"/>
    </font>
    <font>
      <sz val="11"/>
      <color rgb="FF000000"/>
      <name val="'Times New Roman'"/>
    </font>
    <font>
      <sz val="13"/>
      <color rgb="FF000000"/>
      <name val="Times New Roman"/>
    </font>
    <font>
      <sz val="13"/>
      <color theme="1"/>
      <name val="Times New Roman"/>
    </font>
    <font>
      <sz val="12"/>
      <color theme="1"/>
      <name val="Times New Roman"/>
    </font>
    <font>
      <sz val="10"/>
      <color theme="1"/>
      <name val="Times New Roman"/>
    </font>
    <font>
      <sz val="10"/>
      <color theme="1"/>
      <name val="Arial"/>
    </font>
    <font>
      <sz val="11"/>
      <color rgb="FF000000"/>
      <name val="Times New Roman"/>
    </font>
    <font>
      <b/>
      <sz val="11"/>
      <color rgb="FF000000"/>
      <name val="Times New Roman"/>
    </font>
    <font>
      <b/>
      <i/>
      <sz val="11"/>
      <color rgb="FF000000"/>
      <name val="'Times New Roman'"/>
    </font>
    <font>
      <sz val="11"/>
      <color rgb="FF000000"/>
      <name val="Arial"/>
    </font>
    <font>
      <sz val="12"/>
      <color theme="1"/>
      <name val="Calibri"/>
    </font>
    <font>
      <b/>
      <sz val="12"/>
      <color theme="1"/>
      <name val="Times New Roman"/>
    </font>
    <font>
      <sz val="15"/>
      <color theme="1"/>
      <name val="Times New Roman"/>
    </font>
    <font>
      <b/>
      <sz val="12"/>
      <color theme="1"/>
      <name val="Calibri"/>
    </font>
  </fonts>
  <fills count="10">
    <fill>
      <patternFill patternType="none"/>
    </fill>
    <fill>
      <patternFill patternType="gray125"/>
    </fill>
    <fill>
      <patternFill patternType="solid">
        <fgColor rgb="FFFFFF00"/>
        <bgColor rgb="FFFFFF00"/>
      </patternFill>
    </fill>
    <fill>
      <patternFill patternType="solid">
        <fgColor rgb="FF6AA84F"/>
        <bgColor rgb="FF6AA84F"/>
      </patternFill>
    </fill>
    <fill>
      <patternFill patternType="solid">
        <fgColor rgb="FFFFFFFF"/>
        <bgColor rgb="FFFFFFFF"/>
      </patternFill>
    </fill>
    <fill>
      <patternFill patternType="solid">
        <fgColor rgb="FFE6B8AF"/>
        <bgColor rgb="FFE6B8AF"/>
      </patternFill>
    </fill>
    <fill>
      <patternFill patternType="solid">
        <fgColor rgb="FFDD7E6B"/>
        <bgColor rgb="FFDD7E6B"/>
      </patternFill>
    </fill>
    <fill>
      <patternFill patternType="solid">
        <fgColor rgb="FFFF9900"/>
        <bgColor rgb="FFFF9900"/>
      </patternFill>
    </fill>
    <fill>
      <patternFill patternType="solid">
        <fgColor rgb="FFB6D7A8"/>
        <bgColor rgb="FFB6D7A8"/>
      </patternFill>
    </fill>
    <fill>
      <patternFill patternType="solid">
        <fgColor rgb="FFFCE5CD"/>
        <bgColor rgb="FFFCE5CD"/>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85">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xf numFmtId="0" fontId="3" fillId="0" borderId="1" xfId="0" applyFont="1" applyBorder="1" applyAlignment="1">
      <alignment horizontal="center" wrapText="1"/>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xf numFmtId="0" fontId="3" fillId="2" borderId="1" xfId="0" applyFont="1" applyFill="1" applyBorder="1" applyAlignment="1">
      <alignment horizontal="center" wrapText="1"/>
    </xf>
    <xf numFmtId="0" fontId="4" fillId="0" borderId="0" xfId="0" applyFont="1" applyAlignment="1">
      <alignment horizontal="center"/>
    </xf>
    <xf numFmtId="0" fontId="7" fillId="0" borderId="0" xfId="0" applyFont="1" applyAlignment="1"/>
    <xf numFmtId="0" fontId="8" fillId="0" borderId="1" xfId="0" applyFont="1" applyBorder="1" applyAlignment="1">
      <alignment horizontal="left" wrapText="1"/>
    </xf>
    <xf numFmtId="0" fontId="9" fillId="0" borderId="0" xfId="0" applyFont="1"/>
    <xf numFmtId="0" fontId="4" fillId="0" borderId="1" xfId="0" applyFont="1" applyBorder="1" applyAlignment="1">
      <alignment horizontal="center" wrapText="1"/>
    </xf>
    <xf numFmtId="0" fontId="8" fillId="0" borderId="1" xfId="0" applyFont="1" applyBorder="1" applyAlignment="1">
      <alignment horizontal="center" wrapText="1"/>
    </xf>
    <xf numFmtId="0" fontId="2" fillId="0" borderId="0" xfId="0" applyFont="1" applyAlignment="1">
      <alignment horizontal="center"/>
    </xf>
    <xf numFmtId="0" fontId="11" fillId="4" borderId="1" xfId="0" applyFont="1" applyFill="1" applyBorder="1" applyAlignment="1">
      <alignment horizontal="left" wrapText="1"/>
    </xf>
    <xf numFmtId="3" fontId="8" fillId="0" borderId="1" xfId="0" applyNumberFormat="1" applyFont="1" applyBorder="1" applyAlignment="1">
      <alignment horizontal="left" wrapText="1"/>
    </xf>
    <xf numFmtId="0" fontId="12" fillId="2" borderId="0" xfId="0" applyFont="1" applyFill="1" applyAlignment="1">
      <alignment horizontal="center" wrapText="1"/>
    </xf>
    <xf numFmtId="0" fontId="12" fillId="2" borderId="1" xfId="0" applyFont="1" applyFill="1" applyBorder="1" applyAlignment="1">
      <alignment horizontal="center" wrapText="1"/>
    </xf>
    <xf numFmtId="0" fontId="13" fillId="0" borderId="1" xfId="0" applyFont="1" applyBorder="1" applyAlignment="1">
      <alignment horizontal="center" wrapText="1"/>
    </xf>
    <xf numFmtId="0" fontId="12" fillId="0" borderId="0" xfId="0" applyFont="1" applyAlignment="1">
      <alignment horizontal="center"/>
    </xf>
    <xf numFmtId="0" fontId="5" fillId="2" borderId="1" xfId="0" applyFont="1" applyFill="1" applyBorder="1" applyAlignment="1">
      <alignment horizontal="center" wrapText="1"/>
    </xf>
    <xf numFmtId="0" fontId="9" fillId="0" borderId="0" xfId="0" applyFont="1" applyAlignment="1"/>
    <xf numFmtId="0" fontId="13" fillId="0" borderId="1" xfId="0" applyFont="1" applyBorder="1" applyAlignment="1">
      <alignment horizontal="center" wrapText="1"/>
    </xf>
    <xf numFmtId="0" fontId="6" fillId="0" borderId="1" xfId="0" applyFont="1" applyBorder="1" applyAlignment="1">
      <alignment horizontal="left" wrapText="1"/>
    </xf>
    <xf numFmtId="0" fontId="14" fillId="0" borderId="1" xfId="0" applyFont="1" applyBorder="1" applyAlignment="1">
      <alignment horizontal="left" wrapText="1"/>
    </xf>
    <xf numFmtId="3" fontId="14" fillId="0" borderId="1" xfId="0" applyNumberFormat="1" applyFont="1" applyBorder="1" applyAlignment="1">
      <alignment horizontal="center" wrapText="1"/>
    </xf>
    <xf numFmtId="164" fontId="6" fillId="0" borderId="0" xfId="0" applyNumberFormat="1" applyFont="1"/>
    <xf numFmtId="0" fontId="9" fillId="0" borderId="0" xfId="0" applyFont="1" applyAlignment="1">
      <alignment horizontal="center" wrapText="1"/>
    </xf>
    <xf numFmtId="0" fontId="3" fillId="5" borderId="1" xfId="0" applyFont="1" applyFill="1" applyBorder="1" applyAlignment="1">
      <alignment horizontal="center" wrapText="1"/>
    </xf>
    <xf numFmtId="0" fontId="9" fillId="0" borderId="1" xfId="0" applyFont="1" applyBorder="1" applyAlignment="1">
      <alignment horizontal="center" wrapText="1"/>
    </xf>
    <xf numFmtId="3" fontId="9" fillId="0" borderId="1" xfId="0" applyNumberFormat="1" applyFont="1" applyBorder="1" applyAlignment="1">
      <alignment horizontal="center"/>
    </xf>
    <xf numFmtId="3" fontId="9" fillId="0" borderId="1" xfId="0" applyNumberFormat="1" applyFont="1" applyBorder="1" applyAlignment="1">
      <alignment horizontal="center" wrapText="1"/>
    </xf>
    <xf numFmtId="1" fontId="9" fillId="0" borderId="1" xfId="0" applyNumberFormat="1" applyFont="1" applyBorder="1" applyAlignment="1">
      <alignment horizontal="center"/>
    </xf>
    <xf numFmtId="0" fontId="14" fillId="0" borderId="1" xfId="0" applyFont="1" applyBorder="1" applyAlignment="1">
      <alignment horizontal="center" wrapText="1"/>
    </xf>
    <xf numFmtId="1" fontId="9" fillId="0" borderId="1" xfId="0" applyNumberFormat="1" applyFont="1" applyBorder="1" applyAlignment="1">
      <alignment horizontal="center" wrapText="1"/>
    </xf>
    <xf numFmtId="0" fontId="9" fillId="0" borderId="0" xfId="0" applyFont="1" applyAlignment="1">
      <alignment horizontal="center" wrapText="1"/>
    </xf>
    <xf numFmtId="0" fontId="9" fillId="0" borderId="1" xfId="0" applyFont="1" applyBorder="1" applyAlignment="1">
      <alignment horizontal="center" wrapText="1"/>
    </xf>
    <xf numFmtId="0" fontId="8" fillId="2" borderId="1" xfId="0" applyFont="1" applyFill="1" applyBorder="1" applyAlignment="1">
      <alignment horizontal="center" wrapText="1"/>
    </xf>
    <xf numFmtId="0" fontId="16" fillId="0" borderId="0" xfId="0" applyFont="1" applyAlignment="1"/>
    <xf numFmtId="3" fontId="14" fillId="2" borderId="1" xfId="0" applyNumberFormat="1" applyFont="1" applyFill="1" applyBorder="1" applyAlignment="1">
      <alignment horizontal="center" wrapText="1"/>
    </xf>
    <xf numFmtId="0" fontId="11" fillId="0" borderId="1" xfId="0" applyFont="1" applyBorder="1" applyAlignment="1">
      <alignment horizontal="center" wrapText="1"/>
    </xf>
    <xf numFmtId="0" fontId="17" fillId="2" borderId="0" xfId="0" applyFont="1" applyFill="1" applyAlignment="1">
      <alignment horizontal="center" wrapText="1"/>
    </xf>
    <xf numFmtId="0" fontId="9" fillId="0" borderId="1" xfId="0" applyFont="1" applyBorder="1" applyAlignment="1">
      <alignment wrapText="1"/>
    </xf>
    <xf numFmtId="0" fontId="11" fillId="0" borderId="1" xfId="0" applyFont="1" applyBorder="1" applyAlignment="1">
      <alignment horizontal="left" wrapText="1"/>
    </xf>
    <xf numFmtId="0" fontId="18" fillId="0" borderId="0" xfId="0" applyFont="1"/>
    <xf numFmtId="3" fontId="11" fillId="0" borderId="1" xfId="0" applyNumberFormat="1" applyFont="1" applyBorder="1" applyAlignment="1">
      <alignment horizontal="center" wrapText="1"/>
    </xf>
    <xf numFmtId="0" fontId="9" fillId="0" borderId="1" xfId="0" applyFont="1" applyBorder="1" applyAlignment="1">
      <alignment horizontal="center"/>
    </xf>
    <xf numFmtId="0" fontId="17" fillId="0" borderId="0" xfId="0" applyFont="1" applyAlignment="1">
      <alignment horizontal="center" wrapText="1"/>
    </xf>
    <xf numFmtId="1" fontId="9" fillId="0" borderId="1" xfId="0" applyNumberFormat="1" applyFont="1" applyBorder="1" applyAlignment="1">
      <alignment horizontal="center"/>
    </xf>
    <xf numFmtId="0" fontId="9" fillId="0" borderId="1" xfId="0" applyFont="1" applyBorder="1" applyAlignment="1">
      <alignment wrapText="1"/>
    </xf>
    <xf numFmtId="0" fontId="17" fillId="0" borderId="0" xfId="0" applyFont="1"/>
    <xf numFmtId="0" fontId="11" fillId="0" borderId="0" xfId="0" applyFont="1" applyAlignment="1"/>
    <xf numFmtId="3" fontId="11" fillId="2" borderId="1" xfId="0" applyNumberFormat="1" applyFont="1" applyFill="1" applyBorder="1" applyAlignment="1">
      <alignment horizontal="center" wrapText="1"/>
    </xf>
    <xf numFmtId="3" fontId="9" fillId="0" borderId="1" xfId="0" applyNumberFormat="1" applyFont="1" applyBorder="1" applyAlignment="1">
      <alignment horizontal="center"/>
    </xf>
    <xf numFmtId="0" fontId="17" fillId="0" borderId="0" xfId="0" applyFont="1" applyAlignment="1"/>
    <xf numFmtId="0" fontId="16" fillId="0" borderId="0" xfId="0" applyFont="1"/>
    <xf numFmtId="0" fontId="12" fillId="0" borderId="1" xfId="0" applyFont="1" applyBorder="1" applyAlignment="1">
      <alignment horizontal="center"/>
    </xf>
    <xf numFmtId="0" fontId="19" fillId="0" borderId="1" xfId="0" applyFont="1" applyBorder="1" applyAlignment="1"/>
    <xf numFmtId="164" fontId="9" fillId="0" borderId="1" xfId="0" applyNumberFormat="1" applyFont="1" applyBorder="1" applyAlignment="1">
      <alignment horizontal="center"/>
    </xf>
    <xf numFmtId="0" fontId="4" fillId="0" borderId="0" xfId="0" applyFont="1" applyAlignment="1">
      <alignment horizontal="center" wrapText="1"/>
    </xf>
    <xf numFmtId="0" fontId="9" fillId="0" borderId="1" xfId="0" applyFont="1" applyBorder="1" applyAlignment="1">
      <alignment horizontal="center"/>
    </xf>
    <xf numFmtId="0" fontId="12" fillId="2" borderId="1" xfId="0" applyFont="1" applyFill="1" applyBorder="1" applyAlignment="1">
      <alignment wrapText="1"/>
    </xf>
    <xf numFmtId="164" fontId="9" fillId="0" borderId="1" xfId="0" applyNumberFormat="1" applyFont="1" applyBorder="1" applyAlignment="1">
      <alignment horizontal="center"/>
    </xf>
    <xf numFmtId="0" fontId="9" fillId="0" borderId="1" xfId="0" applyFont="1" applyBorder="1" applyAlignment="1">
      <alignment horizontal="center"/>
    </xf>
    <xf numFmtId="0" fontId="11" fillId="0" borderId="0" xfId="0" applyFont="1" applyAlignment="1">
      <alignment horizontal="center" wrapText="1"/>
    </xf>
    <xf numFmtId="3" fontId="19" fillId="0" borderId="1" xfId="0" applyNumberFormat="1" applyFont="1" applyBorder="1" applyAlignment="1">
      <alignment horizontal="center"/>
    </xf>
    <xf numFmtId="0" fontId="14" fillId="2" borderId="1" xfId="0" applyFont="1" applyFill="1" applyBorder="1" applyAlignment="1">
      <alignment horizontal="left"/>
    </xf>
    <xf numFmtId="0" fontId="5" fillId="0" borderId="0" xfId="0" applyFont="1" applyAlignment="1">
      <alignment horizontal="left"/>
    </xf>
    <xf numFmtId="3" fontId="11" fillId="0" borderId="0" xfId="0" applyNumberFormat="1" applyFont="1" applyAlignment="1">
      <alignment horizontal="center" wrapText="1"/>
    </xf>
    <xf numFmtId="0" fontId="1" fillId="0" borderId="0" xfId="0" applyFont="1" applyAlignment="1"/>
    <xf numFmtId="3" fontId="19" fillId="0" borderId="1" xfId="0" applyNumberFormat="1" applyFont="1" applyBorder="1" applyAlignment="1">
      <alignment horizontal="center"/>
    </xf>
    <xf numFmtId="0" fontId="20" fillId="0" borderId="1" xfId="0" applyFont="1" applyBorder="1" applyAlignment="1">
      <alignment horizontal="center"/>
    </xf>
    <xf numFmtId="0" fontId="5" fillId="0" borderId="0" xfId="0" applyFont="1" applyAlignment="1">
      <alignment horizontal="left"/>
    </xf>
    <xf numFmtId="0" fontId="5" fillId="0" borderId="1" xfId="0" applyFont="1" applyBorder="1" applyAlignment="1">
      <alignment horizontal="center" wrapText="1"/>
    </xf>
    <xf numFmtId="0" fontId="5" fillId="2" borderId="1" xfId="0" applyFont="1" applyFill="1" applyBorder="1" applyAlignment="1">
      <alignment horizontal="left" wrapText="1"/>
    </xf>
    <xf numFmtId="3" fontId="14" fillId="0" borderId="1" xfId="0" applyNumberFormat="1" applyFont="1" applyBorder="1" applyAlignment="1">
      <alignment horizontal="left" wrapText="1"/>
    </xf>
    <xf numFmtId="0" fontId="21" fillId="0" borderId="1" xfId="0" applyFont="1" applyBorder="1" applyAlignment="1">
      <alignment horizontal="center"/>
    </xf>
    <xf numFmtId="3" fontId="11" fillId="0" borderId="0" xfId="0" applyNumberFormat="1" applyFont="1" applyAlignment="1">
      <alignment horizontal="right" wrapText="1"/>
    </xf>
    <xf numFmtId="0" fontId="14" fillId="2" borderId="1" xfId="0" applyFont="1" applyFill="1" applyBorder="1" applyAlignment="1">
      <alignment horizontal="left" wrapText="1"/>
    </xf>
    <xf numFmtId="0" fontId="22" fillId="0" borderId="0" xfId="0" applyFont="1" applyAlignment="1">
      <alignment horizontal="left"/>
    </xf>
    <xf numFmtId="0" fontId="22" fillId="0" borderId="0" xfId="0" applyFont="1" applyAlignment="1">
      <alignment horizontal="center"/>
    </xf>
    <xf numFmtId="0" fontId="21" fillId="0" borderId="0" xfId="0" applyFont="1" applyAlignment="1">
      <alignment horizontal="center"/>
    </xf>
    <xf numFmtId="0" fontId="21" fillId="0" borderId="0" xfId="0" applyFont="1" applyAlignment="1">
      <alignment horizontal="left" wrapText="1"/>
    </xf>
    <xf numFmtId="0" fontId="20" fillId="0" borderId="0" xfId="0" applyFont="1" applyAlignment="1">
      <alignment horizontal="left" wrapText="1"/>
    </xf>
    <xf numFmtId="3" fontId="20" fillId="0" borderId="0" xfId="0" applyNumberFormat="1" applyFont="1" applyAlignment="1">
      <alignment horizontal="right" wrapText="1"/>
    </xf>
    <xf numFmtId="0" fontId="12" fillId="6" borderId="1" xfId="0" applyFont="1" applyFill="1" applyBorder="1" applyAlignment="1">
      <alignment wrapText="1"/>
    </xf>
    <xf numFmtId="0" fontId="9" fillId="0" borderId="1" xfId="0" applyFont="1" applyBorder="1" applyAlignment="1">
      <alignment horizontal="left"/>
    </xf>
    <xf numFmtId="0" fontId="12" fillId="0" borderId="1" xfId="0" applyFont="1" applyBorder="1" applyAlignment="1">
      <alignment horizontal="center"/>
    </xf>
    <xf numFmtId="0" fontId="23" fillId="0" borderId="1" xfId="0" applyFont="1" applyBorder="1" applyAlignment="1">
      <alignment horizontal="center"/>
    </xf>
    <xf numFmtId="0" fontId="24" fillId="0" borderId="0" xfId="0" applyFont="1" applyAlignment="1"/>
    <xf numFmtId="0" fontId="23" fillId="0" borderId="1" xfId="0" applyFont="1" applyBorder="1" applyAlignment="1">
      <alignment horizontal="right"/>
    </xf>
    <xf numFmtId="0" fontId="13" fillId="0" borderId="0" xfId="0" applyFont="1" applyAlignment="1">
      <alignment horizontal="center"/>
    </xf>
    <xf numFmtId="0" fontId="3" fillId="7" borderId="1" xfId="0" applyFont="1" applyFill="1" applyBorder="1" applyAlignment="1">
      <alignment horizontal="left" wrapText="1"/>
    </xf>
    <xf numFmtId="0" fontId="12" fillId="8" borderId="1" xfId="0" applyFont="1" applyFill="1" applyBorder="1" applyAlignment="1">
      <alignment horizontal="center"/>
    </xf>
    <xf numFmtId="0" fontId="3" fillId="0" borderId="1" xfId="0" applyFont="1" applyBorder="1" applyAlignment="1">
      <alignment horizontal="left" wrapText="1"/>
    </xf>
    <xf numFmtId="0" fontId="6" fillId="8" borderId="1" xfId="0" applyFont="1" applyFill="1" applyBorder="1" applyAlignment="1">
      <alignment horizontal="center"/>
    </xf>
    <xf numFmtId="0" fontId="25" fillId="0" borderId="8" xfId="0" applyFont="1" applyBorder="1" applyAlignment="1">
      <alignment horizontal="center"/>
    </xf>
    <xf numFmtId="0" fontId="25" fillId="0" borderId="9" xfId="0" applyFont="1" applyBorder="1" applyAlignment="1">
      <alignment horizontal="center"/>
    </xf>
    <xf numFmtId="0" fontId="25" fillId="0" borderId="10" xfId="0" applyFont="1" applyBorder="1" applyAlignment="1">
      <alignment horizontal="center" wrapText="1"/>
    </xf>
    <xf numFmtId="0" fontId="11" fillId="7" borderId="1" xfId="0" applyFont="1" applyFill="1" applyBorder="1" applyAlignment="1">
      <alignment horizontal="left" wrapText="1"/>
    </xf>
    <xf numFmtId="0" fontId="9" fillId="0" borderId="1" xfId="0" applyFont="1" applyBorder="1" applyAlignment="1">
      <alignment horizontal="left"/>
    </xf>
    <xf numFmtId="0" fontId="17" fillId="2" borderId="1" xfId="0" applyFont="1" applyFill="1" applyBorder="1"/>
    <xf numFmtId="41" fontId="17" fillId="2" borderId="11" xfId="0" applyNumberFormat="1" applyFont="1" applyFill="1" applyBorder="1" applyAlignment="1">
      <alignment horizontal="right"/>
    </xf>
    <xf numFmtId="0" fontId="12" fillId="0" borderId="1" xfId="0" applyFont="1" applyBorder="1" applyAlignment="1">
      <alignment horizontal="center"/>
    </xf>
    <xf numFmtId="0" fontId="17" fillId="0" borderId="1" xfId="0" applyFont="1" applyBorder="1"/>
    <xf numFmtId="0" fontId="16" fillId="0" borderId="2" xfId="0" applyFont="1" applyBorder="1" applyAlignment="1">
      <alignment horizontal="left"/>
    </xf>
    <xf numFmtId="41" fontId="17" fillId="0" borderId="11" xfId="0" applyNumberFormat="1" applyFont="1" applyBorder="1" applyAlignment="1">
      <alignment horizontal="right"/>
    </xf>
    <xf numFmtId="0" fontId="8" fillId="0" borderId="1" xfId="0" applyFont="1" applyBorder="1" applyAlignment="1">
      <alignment horizontal="center" wrapText="1"/>
    </xf>
    <xf numFmtId="0" fontId="14" fillId="0" borderId="1" xfId="0" applyFont="1" applyBorder="1" applyAlignment="1">
      <alignment horizontal="center" wrapText="1"/>
    </xf>
    <xf numFmtId="3" fontId="24" fillId="0" borderId="11" xfId="0" applyNumberFormat="1" applyFont="1" applyBorder="1" applyAlignment="1"/>
    <xf numFmtId="165" fontId="23" fillId="0" borderId="1" xfId="0" applyNumberFormat="1" applyFont="1" applyBorder="1" applyAlignment="1">
      <alignment horizontal="right"/>
    </xf>
    <xf numFmtId="0" fontId="16" fillId="0" borderId="7" xfId="0" applyFont="1" applyBorder="1" applyAlignment="1">
      <alignment horizontal="left"/>
    </xf>
    <xf numFmtId="0" fontId="17" fillId="0" borderId="1" xfId="0" applyFont="1" applyBorder="1" applyAlignment="1"/>
    <xf numFmtId="3" fontId="17" fillId="0" borderId="11" xfId="0" applyNumberFormat="1" applyFont="1" applyBorder="1" applyAlignment="1">
      <alignment horizontal="right"/>
    </xf>
    <xf numFmtId="0" fontId="16" fillId="0" borderId="6" xfId="0" applyFont="1" applyBorder="1" applyAlignment="1">
      <alignment horizontal="left"/>
    </xf>
    <xf numFmtId="0" fontId="17" fillId="2" borderId="1" xfId="0" applyFont="1" applyFill="1" applyBorder="1" applyAlignment="1"/>
    <xf numFmtId="0" fontId="23" fillId="0" borderId="1" xfId="0" applyFont="1" applyBorder="1" applyAlignment="1"/>
    <xf numFmtId="41" fontId="26" fillId="2" borderId="11" xfId="0" applyNumberFormat="1" applyFont="1" applyFill="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left" wrapText="1"/>
    </xf>
    <xf numFmtId="3" fontId="3" fillId="0" borderId="1" xfId="0" applyNumberFormat="1" applyFont="1" applyBorder="1" applyAlignment="1">
      <alignment horizontal="left" wrapText="1"/>
    </xf>
    <xf numFmtId="0" fontId="25" fillId="0" borderId="1" xfId="0" applyFont="1" applyBorder="1" applyAlignment="1">
      <alignment horizontal="center"/>
    </xf>
    <xf numFmtId="0" fontId="24" fillId="0" borderId="1" xfId="0" applyFont="1" applyBorder="1"/>
    <xf numFmtId="0" fontId="17" fillId="0" borderId="1" xfId="0" applyFont="1" applyBorder="1" applyAlignment="1">
      <alignment horizontal="right"/>
    </xf>
    <xf numFmtId="41" fontId="27" fillId="0" borderId="1" xfId="0" applyNumberFormat="1" applyFont="1" applyBorder="1"/>
    <xf numFmtId="3" fontId="24" fillId="0" borderId="12" xfId="0" applyNumberFormat="1" applyFont="1" applyBorder="1" applyAlignment="1"/>
    <xf numFmtId="0" fontId="23" fillId="0" borderId="1" xfId="0" applyFont="1" applyBorder="1" applyAlignment="1">
      <alignment wrapText="1"/>
    </xf>
    <xf numFmtId="0" fontId="24" fillId="0" borderId="12" xfId="0" applyFont="1" applyBorder="1"/>
    <xf numFmtId="41" fontId="17" fillId="2" borderId="12" xfId="0" applyNumberFormat="1" applyFont="1" applyFill="1" applyBorder="1" applyAlignment="1">
      <alignment horizontal="right"/>
    </xf>
    <xf numFmtId="0" fontId="17" fillId="0" borderId="12" xfId="0" applyFont="1" applyBorder="1" applyAlignment="1">
      <alignment horizontal="center" wrapText="1"/>
    </xf>
    <xf numFmtId="0" fontId="24" fillId="0" borderId="0" xfId="0" applyFont="1" applyAlignment="1">
      <alignment horizontal="right"/>
    </xf>
    <xf numFmtId="41" fontId="25" fillId="9" borderId="1" xfId="0" applyNumberFormat="1" applyFont="1" applyFill="1" applyBorder="1" applyAlignment="1">
      <alignment horizontal="right"/>
    </xf>
    <xf numFmtId="1" fontId="9" fillId="0" borderId="0" xfId="0" applyNumberFormat="1" applyFont="1" applyAlignment="1">
      <alignment horizontal="center" wrapText="1"/>
    </xf>
    <xf numFmtId="0" fontId="12" fillId="0" borderId="1" xfId="0" applyFont="1" applyBorder="1" applyAlignment="1">
      <alignment horizontal="center" wrapText="1"/>
    </xf>
    <xf numFmtId="0" fontId="8" fillId="0" borderId="1" xfId="0" applyFont="1" applyBorder="1" applyAlignment="1">
      <alignment wrapText="1"/>
    </xf>
    <xf numFmtId="0" fontId="3" fillId="0" borderId="1" xfId="0" applyFont="1" applyBorder="1" applyAlignment="1">
      <alignment wrapText="1"/>
    </xf>
    <xf numFmtId="0" fontId="23" fillId="8" borderId="1" xfId="0" applyFont="1" applyFill="1" applyBorder="1" applyAlignment="1">
      <alignment horizontal="right"/>
    </xf>
    <xf numFmtId="0" fontId="9" fillId="0" borderId="1" xfId="0" applyFont="1" applyBorder="1" applyAlignment="1"/>
    <xf numFmtId="0" fontId="12" fillId="8" borderId="1" xfId="0" applyFont="1" applyFill="1" applyBorder="1" applyAlignment="1">
      <alignment horizontal="center"/>
    </xf>
    <xf numFmtId="0" fontId="1" fillId="2" borderId="1" xfId="0" applyFont="1" applyFill="1" applyBorder="1" applyAlignment="1"/>
    <xf numFmtId="0" fontId="1" fillId="2" borderId="1" xfId="0" applyFont="1" applyFill="1" applyBorder="1"/>
    <xf numFmtId="0" fontId="1" fillId="2" borderId="1" xfId="0" applyFont="1" applyFill="1" applyBorder="1" applyAlignment="1">
      <alignment horizontal="center"/>
    </xf>
    <xf numFmtId="0" fontId="1" fillId="2" borderId="3" xfId="0" applyFont="1" applyFill="1" applyBorder="1" applyAlignment="1">
      <alignment horizontal="center"/>
    </xf>
    <xf numFmtId="0" fontId="1" fillId="0" borderId="0" xfId="0" applyFont="1" applyAlignment="1">
      <alignment horizontal="center"/>
    </xf>
    <xf numFmtId="0" fontId="12" fillId="2" borderId="2" xfId="0" applyFont="1" applyFill="1" applyBorder="1" applyAlignment="1">
      <alignment horizontal="center" wrapText="1"/>
    </xf>
    <xf numFmtId="0" fontId="10" fillId="0" borderId="6" xfId="0" applyFont="1" applyBorder="1"/>
    <xf numFmtId="3" fontId="1" fillId="2" borderId="3" xfId="0" applyNumberFormat="1" applyFont="1" applyFill="1" applyBorder="1"/>
    <xf numFmtId="0" fontId="10" fillId="0" borderId="4" xfId="0" applyFont="1" applyBorder="1"/>
    <xf numFmtId="0" fontId="10" fillId="0" borderId="5" xfId="0" applyFont="1" applyBorder="1"/>
    <xf numFmtId="3" fontId="5" fillId="2" borderId="3" xfId="0" applyNumberFormat="1" applyFont="1" applyFill="1" applyBorder="1" applyAlignment="1">
      <alignment horizontal="center" wrapText="1"/>
    </xf>
    <xf numFmtId="0" fontId="21" fillId="0" borderId="0" xfId="0" applyFont="1" applyAlignment="1">
      <alignment horizontal="center" wrapText="1"/>
    </xf>
    <xf numFmtId="0" fontId="0" fillId="0" borderId="0" xfId="0" applyFont="1" applyAlignment="1"/>
    <xf numFmtId="0" fontId="21" fillId="0" borderId="0" xfId="0" applyFont="1" applyAlignment="1">
      <alignment horizontal="left" wrapText="1"/>
    </xf>
    <xf numFmtId="0" fontId="12" fillId="6" borderId="3" xfId="0" applyFont="1" applyFill="1" applyBorder="1" applyAlignment="1">
      <alignment horizontal="center"/>
    </xf>
    <xf numFmtId="0" fontId="5" fillId="0" borderId="2" xfId="0" applyFont="1" applyBorder="1" applyAlignment="1">
      <alignment horizontal="center" wrapText="1"/>
    </xf>
    <xf numFmtId="0" fontId="5" fillId="3" borderId="3" xfId="0" applyFont="1" applyFill="1" applyBorder="1" applyAlignment="1">
      <alignment horizontal="center" wrapText="1"/>
    </xf>
    <xf numFmtId="0" fontId="3" fillId="0" borderId="2" xfId="0" applyFont="1" applyBorder="1" applyAlignment="1">
      <alignment horizontal="center" wrapText="1"/>
    </xf>
    <xf numFmtId="0" fontId="3" fillId="5" borderId="2" xfId="0" applyFont="1" applyFill="1" applyBorder="1" applyAlignment="1">
      <alignment horizontal="center" wrapText="1"/>
    </xf>
    <xf numFmtId="0" fontId="3" fillId="5" borderId="3" xfId="0" applyFont="1" applyFill="1" applyBorder="1" applyAlignment="1">
      <alignment horizontal="center" wrapText="1"/>
    </xf>
    <xf numFmtId="0" fontId="15" fillId="0" borderId="2" xfId="0" applyFont="1" applyBorder="1" applyAlignment="1">
      <alignment horizontal="left"/>
    </xf>
    <xf numFmtId="0" fontId="10" fillId="0" borderId="7" xfId="0" applyFont="1" applyBorder="1"/>
    <xf numFmtId="0" fontId="15" fillId="0" borderId="2" xfId="0" applyFont="1" applyBorder="1" applyAlignment="1">
      <alignment horizontal="left" wrapText="1"/>
    </xf>
    <xf numFmtId="0" fontId="16" fillId="0" borderId="2" xfId="0" applyFont="1" applyBorder="1" applyAlignment="1">
      <alignment horizontal="left" wrapText="1"/>
    </xf>
    <xf numFmtId="0" fontId="11" fillId="0" borderId="2" xfId="0" applyFont="1" applyBorder="1" applyAlignment="1">
      <alignment horizontal="left" wrapText="1"/>
    </xf>
    <xf numFmtId="0" fontId="16" fillId="0" borderId="2" xfId="0" applyFont="1" applyBorder="1" applyAlignment="1">
      <alignment horizontal="left"/>
    </xf>
    <xf numFmtId="0" fontId="25" fillId="0" borderId="3" xfId="0" applyFont="1" applyBorder="1" applyAlignment="1">
      <alignment horizontal="center" wrapText="1"/>
    </xf>
    <xf numFmtId="41" fontId="25" fillId="9" borderId="3" xfId="0" applyNumberFormat="1" applyFont="1" applyFill="1" applyBorder="1" applyAlignment="1">
      <alignment horizontal="center"/>
    </xf>
    <xf numFmtId="0" fontId="8" fillId="0" borderId="2" xfId="0" applyFont="1" applyBorder="1" applyAlignment="1">
      <alignment horizontal="left" wrapText="1"/>
    </xf>
    <xf numFmtId="0" fontId="6" fillId="0" borderId="2" xfId="0" applyFont="1" applyBorder="1" applyAlignment="1">
      <alignment horizontal="center" wrapText="1"/>
    </xf>
    <xf numFmtId="3" fontId="8" fillId="0" borderId="2" xfId="0" applyNumberFormat="1" applyFont="1" applyBorder="1" applyAlignment="1">
      <alignment horizontal="left" wrapText="1"/>
    </xf>
    <xf numFmtId="0" fontId="4" fillId="2" borderId="3" xfId="0" applyFont="1" applyFill="1" applyBorder="1" applyAlignment="1">
      <alignment horizontal="center" wrapText="1"/>
    </xf>
    <xf numFmtId="0" fontId="17" fillId="0" borderId="0" xfId="0" applyFont="1" applyAlignment="1">
      <alignment horizontal="center" wrapText="1"/>
    </xf>
    <xf numFmtId="0" fontId="11" fillId="0" borderId="0" xfId="0" applyFont="1" applyAlignment="1"/>
    <xf numFmtId="0" fontId="11" fillId="0" borderId="0" xfId="0" applyFont="1" applyAlignment="1">
      <alignment horizontal="center" wrapText="1"/>
    </xf>
    <xf numFmtId="0" fontId="4" fillId="0" borderId="0" xfId="0" applyFont="1" applyAlignment="1">
      <alignment horizontal="center" wrapText="1"/>
    </xf>
    <xf numFmtId="0" fontId="12" fillId="0" borderId="2" xfId="0" applyFont="1" applyBorder="1" applyAlignment="1">
      <alignment horizontal="center" wrapText="1"/>
    </xf>
    <xf numFmtId="0" fontId="12" fillId="3" borderId="3" xfId="0" applyFont="1" applyFill="1" applyBorder="1" applyAlignment="1">
      <alignment horizontal="center" wrapText="1"/>
    </xf>
    <xf numFmtId="3" fontId="19" fillId="0" borderId="3" xfId="0" applyNumberFormat="1" applyFont="1" applyBorder="1" applyAlignment="1"/>
    <xf numFmtId="0" fontId="19" fillId="0" borderId="3" xfId="0" applyFont="1" applyBorder="1" applyAlignment="1"/>
    <xf numFmtId="0" fontId="3" fillId="0" borderId="2" xfId="0" applyFont="1" applyBorder="1" applyAlignment="1">
      <alignment horizontal="left" wrapText="1"/>
    </xf>
    <xf numFmtId="0" fontId="17" fillId="0" borderId="2" xfId="0" applyFont="1" applyBorder="1" applyAlignment="1">
      <alignment horizontal="center" wrapText="1"/>
    </xf>
    <xf numFmtId="41" fontId="17" fillId="2" borderId="13" xfId="0" applyNumberFormat="1" applyFont="1" applyFill="1" applyBorder="1" applyAlignment="1">
      <alignment horizontal="right"/>
    </xf>
    <xf numFmtId="0" fontId="10" fillId="0" borderId="1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1" i="0">
                <a:solidFill>
                  <a:srgbClr val="000000"/>
                </a:solidFill>
                <a:latin typeface="+mn-lt"/>
              </a:defRPr>
            </a:pPr>
            <a:r>
              <a:rPr b="1" i="0">
                <a:solidFill>
                  <a:srgbClr val="000000"/>
                </a:solidFill>
                <a:latin typeface="+mn-lt"/>
              </a:rPr>
              <a:t>Lợi Nhuận vs Tháng</a:t>
            </a:r>
          </a:p>
        </c:rich>
      </c:tx>
      <c:overlay val="0"/>
    </c:title>
    <c:autoTitleDeleted val="0"/>
    <c:plotArea>
      <c:layout/>
      <c:lineChart>
        <c:grouping val="standard"/>
        <c:varyColors val="0"/>
        <c:ser>
          <c:idx val="0"/>
          <c:order val="0"/>
          <c:tx>
            <c:v> Lợi Nhuận</c:v>
          </c:tx>
          <c:spPr>
            <a:ln cmpd="sng">
              <a:solidFill>
                <a:srgbClr val="4472C4"/>
              </a:solidFill>
            </a:ln>
          </c:spPr>
          <c:marker>
            <c:symbol val="none"/>
          </c:marker>
          <c:cat>
            <c:strRef>
              <c:f>'Doanh thu'!$D$2:$N$2</c:f>
              <c:strCache>
                <c:ptCount val="11"/>
                <c:pt idx="0">
                  <c:v>T10</c:v>
                </c:pt>
                <c:pt idx="1">
                  <c:v>T11</c:v>
                </c:pt>
                <c:pt idx="2">
                  <c:v>T12</c:v>
                </c:pt>
                <c:pt idx="3">
                  <c:v>T1</c:v>
                </c:pt>
                <c:pt idx="4">
                  <c:v>T2</c:v>
                </c:pt>
                <c:pt idx="5">
                  <c:v>T3</c:v>
                </c:pt>
                <c:pt idx="6">
                  <c:v>T4</c:v>
                </c:pt>
                <c:pt idx="7">
                  <c:v>T5</c:v>
                </c:pt>
                <c:pt idx="8">
                  <c:v>T6</c:v>
                </c:pt>
                <c:pt idx="9">
                  <c:v>T7</c:v>
                </c:pt>
                <c:pt idx="10">
                  <c:v>T8</c:v>
                </c:pt>
              </c:strCache>
            </c:strRef>
          </c:cat>
          <c:val>
            <c:numRef>
              <c:f>'Doanh thu'!$D$84:$N$84</c:f>
              <c:numCache>
                <c:formatCode>_(* #,##0_);_(* \(#,##0\);_(* "-"_);_(@_)</c:formatCode>
                <c:ptCount val="11"/>
                <c:pt idx="0">
                  <c:v>426070</c:v>
                </c:pt>
                <c:pt idx="1">
                  <c:v>422344</c:v>
                </c:pt>
                <c:pt idx="2">
                  <c:v>486874</c:v>
                </c:pt>
                <c:pt idx="3">
                  <c:v>500760</c:v>
                </c:pt>
                <c:pt idx="4">
                  <c:v>511145</c:v>
                </c:pt>
                <c:pt idx="5">
                  <c:v>563612</c:v>
                </c:pt>
                <c:pt idx="6">
                  <c:v>590758</c:v>
                </c:pt>
                <c:pt idx="7">
                  <c:v>551271</c:v>
                </c:pt>
                <c:pt idx="8">
                  <c:v>537803</c:v>
                </c:pt>
                <c:pt idx="9">
                  <c:v>530415</c:v>
                </c:pt>
                <c:pt idx="10">
                  <c:v>501977</c:v>
                </c:pt>
              </c:numCache>
            </c:numRef>
          </c:val>
          <c:smooth val="0"/>
        </c:ser>
        <c:dLbls>
          <c:showLegendKey val="0"/>
          <c:showVal val="0"/>
          <c:showCatName val="0"/>
          <c:showSerName val="0"/>
          <c:showPercent val="0"/>
          <c:showBubbleSize val="0"/>
        </c:dLbls>
        <c:marker val="1"/>
        <c:smooth val="0"/>
        <c:axId val="33710464"/>
        <c:axId val="33712384"/>
      </c:lineChart>
      <c:catAx>
        <c:axId val="3371046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1300" b="1" i="0">
                <a:solidFill>
                  <a:srgbClr val="000000"/>
                </a:solidFill>
                <a:latin typeface="+mn-lt"/>
              </a:defRPr>
            </a:pPr>
            <a:endParaRPr lang="en-US"/>
          </a:p>
        </c:txPr>
        <c:crossAx val="33712384"/>
        <c:crosses val="autoZero"/>
        <c:auto val="1"/>
        <c:lblAlgn val="ctr"/>
        <c:lblOffset val="100"/>
        <c:noMultiLvlLbl val="1"/>
      </c:catAx>
      <c:valAx>
        <c:axId val="33712384"/>
        <c:scaling>
          <c:orientation val="minMax"/>
          <c:max val="3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đ-42A]" sourceLinked="0"/>
        <c:majorTickMark val="none"/>
        <c:minorTickMark val="none"/>
        <c:tickLblPos val="nextTo"/>
        <c:spPr>
          <a:ln>
            <a:noFill/>
          </a:ln>
        </c:spPr>
        <c:txPr>
          <a:bodyPr/>
          <a:lstStyle/>
          <a:p>
            <a:pPr lvl="0">
              <a:defRPr sz="1300" b="1" i="0">
                <a:solidFill>
                  <a:srgbClr val="000000"/>
                </a:solidFill>
                <a:latin typeface="+mn-lt"/>
              </a:defRPr>
            </a:pPr>
            <a:endParaRPr lang="en-US"/>
          </a:p>
        </c:txPr>
        <c:crossAx val="33710464"/>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14</xdr:col>
      <xdr:colOff>342900</xdr:colOff>
      <xdr:row>1</xdr:row>
      <xdr:rowOff>161925</xdr:rowOff>
    </xdr:from>
    <xdr:ext cx="5715000" cy="3533775"/>
    <xdr:graphicFrame macro="">
      <xdr:nvGraphicFramePr>
        <xdr:cNvPr id="2" name="Chart 1" title="Biểu đồ"/>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81"/>
  <sheetViews>
    <sheetView tabSelected="1" topLeftCell="A25" workbookViewId="0">
      <selection activeCell="N35" sqref="N35"/>
    </sheetView>
  </sheetViews>
  <sheetFormatPr defaultColWidth="12.6328125" defaultRowHeight="15.75" customHeight="1"/>
  <cols>
    <col min="1" max="1" width="26.08984375" customWidth="1"/>
    <col min="2" max="2" width="12.90625" customWidth="1"/>
    <col min="3" max="3" width="7.7265625" customWidth="1"/>
    <col min="4" max="4" width="5.7265625" customWidth="1"/>
    <col min="5" max="5" width="6.7265625" customWidth="1"/>
    <col min="6" max="14" width="7.453125" customWidth="1"/>
    <col min="15" max="15" width="9.90625" customWidth="1"/>
    <col min="16" max="16" width="2.36328125" customWidth="1"/>
    <col min="17" max="18" width="43" customWidth="1"/>
    <col min="19" max="19" width="8.26953125" customWidth="1"/>
    <col min="20" max="20" width="9.7265625" customWidth="1"/>
    <col min="21" max="21" width="9.453125" customWidth="1"/>
    <col min="22" max="22" width="10.36328125" customWidth="1"/>
    <col min="23" max="23" width="15.90625" customWidth="1"/>
    <col min="24" max="24" width="16.26953125" customWidth="1"/>
  </cols>
  <sheetData>
    <row r="1" spans="1:29" ht="14">
      <c r="A1" s="1"/>
      <c r="B1" s="2"/>
      <c r="C1" s="2"/>
      <c r="D1" s="2"/>
      <c r="E1" s="2"/>
      <c r="F1" s="2"/>
      <c r="G1" s="2"/>
      <c r="H1" s="2"/>
      <c r="I1" s="2"/>
      <c r="J1" s="2"/>
      <c r="K1" s="2"/>
      <c r="L1" s="2"/>
      <c r="M1" s="2"/>
      <c r="N1" s="2"/>
      <c r="O1" s="2"/>
      <c r="P1" s="2"/>
      <c r="Q1" s="2"/>
      <c r="R1" s="2"/>
      <c r="S1" s="2"/>
      <c r="T1" s="2"/>
      <c r="U1" s="2"/>
      <c r="V1" s="2"/>
      <c r="W1" s="2"/>
      <c r="X1" s="2"/>
      <c r="Y1" s="2"/>
      <c r="Z1" s="2"/>
      <c r="AA1" s="2"/>
      <c r="AB1" s="2"/>
      <c r="AC1" s="2"/>
    </row>
    <row r="2" spans="1:29" ht="14">
      <c r="A2" s="6"/>
      <c r="B2" s="2"/>
      <c r="C2" s="2"/>
      <c r="D2" s="2"/>
      <c r="E2" s="2"/>
      <c r="F2" s="2"/>
      <c r="G2" s="2"/>
      <c r="H2" s="2"/>
      <c r="I2" s="2"/>
      <c r="J2" s="2"/>
      <c r="K2" s="2"/>
      <c r="L2" s="2"/>
      <c r="M2" s="2"/>
      <c r="N2" s="2"/>
      <c r="O2" s="2"/>
      <c r="P2" s="2"/>
      <c r="Q2" s="2"/>
      <c r="R2" s="2"/>
      <c r="S2" s="2"/>
      <c r="T2" s="2"/>
      <c r="U2" s="2"/>
      <c r="V2" s="2"/>
      <c r="W2" s="2"/>
      <c r="X2" s="2"/>
      <c r="Y2" s="2"/>
      <c r="Z2" s="2"/>
      <c r="AA2" s="2"/>
      <c r="AB2" s="2"/>
      <c r="AC2" s="2"/>
    </row>
    <row r="3" spans="1:29" ht="14">
      <c r="A3" s="6"/>
      <c r="B3" s="2"/>
      <c r="C3" s="2"/>
      <c r="D3" s="2"/>
      <c r="E3" s="10" t="s">
        <v>8</v>
      </c>
      <c r="F3" s="2"/>
      <c r="G3" s="2"/>
      <c r="H3" s="2"/>
      <c r="I3" s="2"/>
      <c r="J3" s="2"/>
      <c r="K3" s="2"/>
      <c r="L3" s="2"/>
      <c r="M3" s="2"/>
      <c r="N3" s="2"/>
      <c r="O3" s="12"/>
      <c r="P3" s="12"/>
      <c r="Q3" s="12"/>
      <c r="R3" s="12"/>
      <c r="S3" s="12"/>
      <c r="T3" s="12"/>
      <c r="U3" s="12"/>
      <c r="V3" s="12"/>
      <c r="W3" s="12"/>
      <c r="X3" s="12"/>
      <c r="Y3" s="12"/>
      <c r="Z3" s="12"/>
      <c r="AA3" s="12"/>
      <c r="AB3" s="12"/>
      <c r="AC3" s="12"/>
    </row>
    <row r="4" spans="1:29" ht="14">
      <c r="A4" s="156" t="s">
        <v>11</v>
      </c>
      <c r="B4" s="157" t="s">
        <v>15</v>
      </c>
      <c r="C4" s="149"/>
      <c r="D4" s="149"/>
      <c r="E4" s="149"/>
      <c r="F4" s="149"/>
      <c r="G4" s="149"/>
      <c r="H4" s="149"/>
      <c r="I4" s="149"/>
      <c r="J4" s="149"/>
      <c r="K4" s="149"/>
      <c r="L4" s="149"/>
      <c r="M4" s="150"/>
      <c r="N4" s="2"/>
      <c r="O4" s="18"/>
      <c r="P4" s="146" t="s">
        <v>9</v>
      </c>
      <c r="Q4" s="146" t="s">
        <v>35</v>
      </c>
      <c r="R4" s="146" t="s">
        <v>37</v>
      </c>
      <c r="S4" s="146" t="s">
        <v>39</v>
      </c>
      <c r="T4" s="19" t="s">
        <v>40</v>
      </c>
      <c r="U4" s="146" t="s">
        <v>1</v>
      </c>
      <c r="V4" s="146" t="s">
        <v>43</v>
      </c>
      <c r="W4" s="146" t="s">
        <v>44</v>
      </c>
      <c r="X4" s="146" t="s">
        <v>45</v>
      </c>
      <c r="Y4" s="146" t="s">
        <v>47</v>
      </c>
      <c r="Z4" s="21"/>
      <c r="AA4" s="21"/>
      <c r="AB4" s="21"/>
      <c r="AC4" s="21"/>
    </row>
    <row r="5" spans="1:29" ht="14">
      <c r="A5" s="147"/>
      <c r="B5" s="22" t="s">
        <v>56</v>
      </c>
      <c r="C5" s="22" t="s">
        <v>61</v>
      </c>
      <c r="D5" s="22" t="s">
        <v>62</v>
      </c>
      <c r="E5" s="22" t="s">
        <v>65</v>
      </c>
      <c r="F5" s="22" t="s">
        <v>68</v>
      </c>
      <c r="G5" s="22" t="s">
        <v>70</v>
      </c>
      <c r="H5" s="22" t="s">
        <v>71</v>
      </c>
      <c r="I5" s="22" t="s">
        <v>72</v>
      </c>
      <c r="J5" s="22" t="s">
        <v>73</v>
      </c>
      <c r="K5" s="22" t="s">
        <v>74</v>
      </c>
      <c r="L5" s="22" t="s">
        <v>75</v>
      </c>
      <c r="M5" s="22" t="s">
        <v>76</v>
      </c>
      <c r="N5" s="2"/>
      <c r="O5" s="18"/>
      <c r="P5" s="147"/>
      <c r="Q5" s="147"/>
      <c r="R5" s="147"/>
      <c r="S5" s="147"/>
      <c r="T5" s="19" t="s">
        <v>78</v>
      </c>
      <c r="U5" s="147"/>
      <c r="V5" s="147"/>
      <c r="W5" s="147"/>
      <c r="X5" s="147"/>
      <c r="Y5" s="147"/>
      <c r="Z5" s="23"/>
      <c r="AA5" s="23"/>
      <c r="AB5" s="23"/>
      <c r="AC5" s="23"/>
    </row>
    <row r="6" spans="1:29" ht="14">
      <c r="A6" s="26" t="s">
        <v>80</v>
      </c>
      <c r="B6" s="27">
        <v>100000</v>
      </c>
      <c r="C6" s="27">
        <v>100000</v>
      </c>
      <c r="D6" s="27">
        <v>100000</v>
      </c>
      <c r="E6" s="27">
        <v>100000</v>
      </c>
      <c r="F6" s="27">
        <v>100000</v>
      </c>
      <c r="G6" s="27">
        <v>100000</v>
      </c>
      <c r="H6" s="27">
        <v>100000</v>
      </c>
      <c r="I6" s="27">
        <v>100000</v>
      </c>
      <c r="J6" s="27">
        <v>100000</v>
      </c>
      <c r="K6" s="27">
        <v>100000</v>
      </c>
      <c r="L6" s="27">
        <v>100000</v>
      </c>
      <c r="M6" s="27">
        <v>100000</v>
      </c>
      <c r="N6" s="2"/>
      <c r="O6" s="29"/>
      <c r="P6" s="31">
        <v>1</v>
      </c>
      <c r="Q6" s="32" t="s">
        <v>89</v>
      </c>
      <c r="R6" s="33" t="s">
        <v>90</v>
      </c>
      <c r="S6" s="33" t="s">
        <v>91</v>
      </c>
      <c r="T6" s="33">
        <v>35000</v>
      </c>
      <c r="U6" s="33">
        <v>1</v>
      </c>
      <c r="V6" s="33">
        <v>35000</v>
      </c>
      <c r="W6" s="31">
        <v>60</v>
      </c>
      <c r="X6" s="34"/>
      <c r="Y6" s="36"/>
      <c r="Z6" s="23"/>
      <c r="AA6" s="23"/>
      <c r="AB6" s="23"/>
      <c r="AC6" s="23"/>
    </row>
    <row r="7" spans="1:29" ht="14">
      <c r="A7" s="26" t="s">
        <v>93</v>
      </c>
      <c r="B7" s="27">
        <v>89000</v>
      </c>
      <c r="C7" s="27">
        <v>89000</v>
      </c>
      <c r="D7" s="27">
        <v>89000</v>
      </c>
      <c r="E7" s="27">
        <v>89000</v>
      </c>
      <c r="F7" s="27">
        <v>89000</v>
      </c>
      <c r="G7" s="27">
        <v>89000</v>
      </c>
      <c r="H7" s="27">
        <v>89000</v>
      </c>
      <c r="I7" s="27">
        <v>89000</v>
      </c>
      <c r="J7" s="27">
        <v>89000</v>
      </c>
      <c r="K7" s="27">
        <v>89000</v>
      </c>
      <c r="L7" s="27">
        <v>89000</v>
      </c>
      <c r="M7" s="27">
        <v>89000</v>
      </c>
      <c r="N7" s="2"/>
      <c r="O7" s="37"/>
      <c r="P7" s="38">
        <v>2</v>
      </c>
      <c r="Q7" s="32" t="s">
        <v>95</v>
      </c>
      <c r="R7" s="33" t="s">
        <v>96</v>
      </c>
      <c r="S7" s="33" t="s">
        <v>91</v>
      </c>
      <c r="T7" s="33">
        <v>8000</v>
      </c>
      <c r="U7" s="33">
        <v>1</v>
      </c>
      <c r="V7" s="33">
        <v>8000</v>
      </c>
      <c r="W7" s="31">
        <v>24</v>
      </c>
      <c r="X7" s="36"/>
      <c r="Y7" s="36">
        <f t="shared" ref="Y7:Y54" si="0">V7/W7</f>
        <v>333.33333333333331</v>
      </c>
      <c r="Z7" s="23"/>
      <c r="AA7" s="23"/>
      <c r="AB7" s="23"/>
      <c r="AC7" s="23"/>
    </row>
    <row r="8" spans="1:29" ht="28">
      <c r="A8" s="44" t="s">
        <v>101</v>
      </c>
      <c r="B8" s="27">
        <v>10082</v>
      </c>
      <c r="C8" s="27">
        <v>10082</v>
      </c>
      <c r="D8" s="27">
        <v>10082</v>
      </c>
      <c r="E8" s="27">
        <v>10082</v>
      </c>
      <c r="F8" s="27">
        <v>10082</v>
      </c>
      <c r="G8" s="27">
        <v>10082</v>
      </c>
      <c r="H8" s="27">
        <v>10082</v>
      </c>
      <c r="I8" s="27">
        <v>10082</v>
      </c>
      <c r="J8" s="27">
        <v>10082</v>
      </c>
      <c r="K8" s="27">
        <v>10082</v>
      </c>
      <c r="L8" s="27">
        <v>10082</v>
      </c>
      <c r="M8" s="27">
        <v>10082</v>
      </c>
      <c r="N8" s="2"/>
      <c r="O8" s="29"/>
      <c r="P8" s="31">
        <v>3</v>
      </c>
      <c r="Q8" s="48" t="s">
        <v>107</v>
      </c>
      <c r="R8" s="33" t="s">
        <v>96</v>
      </c>
      <c r="S8" s="33" t="s">
        <v>91</v>
      </c>
      <c r="T8" s="33">
        <v>2500</v>
      </c>
      <c r="U8" s="33">
        <v>1</v>
      </c>
      <c r="V8" s="33">
        <v>2500</v>
      </c>
      <c r="W8" s="31">
        <v>24</v>
      </c>
      <c r="X8" s="50"/>
      <c r="Y8" s="36">
        <f t="shared" si="0"/>
        <v>104.16666666666667</v>
      </c>
      <c r="Z8" s="23"/>
      <c r="AA8" s="23"/>
      <c r="AB8" s="23"/>
      <c r="AC8" s="23"/>
    </row>
    <row r="9" spans="1:29" ht="14">
      <c r="A9" s="51" t="s">
        <v>118</v>
      </c>
      <c r="B9" s="27">
        <v>0</v>
      </c>
      <c r="C9" s="27">
        <v>1000</v>
      </c>
      <c r="D9" s="27">
        <v>0</v>
      </c>
      <c r="E9" s="27">
        <v>0</v>
      </c>
      <c r="F9" s="27">
        <v>0</v>
      </c>
      <c r="G9" s="27">
        <v>0</v>
      </c>
      <c r="H9" s="27">
        <v>0</v>
      </c>
      <c r="I9" s="27">
        <v>0</v>
      </c>
      <c r="J9" s="27">
        <v>0</v>
      </c>
      <c r="K9" s="27">
        <v>0</v>
      </c>
      <c r="L9" s="27">
        <v>0</v>
      </c>
      <c r="M9" s="27">
        <v>0</v>
      </c>
      <c r="N9" s="2"/>
      <c r="O9" s="37"/>
      <c r="P9" s="38">
        <v>4</v>
      </c>
      <c r="Q9" s="32" t="s">
        <v>121</v>
      </c>
      <c r="R9" s="33" t="s">
        <v>96</v>
      </c>
      <c r="S9" s="33" t="s">
        <v>91</v>
      </c>
      <c r="T9" s="55">
        <v>2000</v>
      </c>
      <c r="U9" s="55">
        <v>1</v>
      </c>
      <c r="V9" s="33">
        <v>2000</v>
      </c>
      <c r="W9" s="31">
        <v>24</v>
      </c>
      <c r="X9" s="50"/>
      <c r="Y9" s="36">
        <f t="shared" si="0"/>
        <v>83.333333333333329</v>
      </c>
      <c r="Z9" s="23"/>
      <c r="AA9" s="23"/>
      <c r="AB9" s="23"/>
      <c r="AC9" s="23"/>
    </row>
    <row r="10" spans="1:29" ht="14">
      <c r="A10" s="26" t="s">
        <v>128</v>
      </c>
      <c r="B10" s="27">
        <v>200</v>
      </c>
      <c r="C10" s="27">
        <v>0</v>
      </c>
      <c r="D10" s="27">
        <v>0</v>
      </c>
      <c r="E10" s="27">
        <v>0</v>
      </c>
      <c r="F10" s="27">
        <v>0</v>
      </c>
      <c r="G10" s="27">
        <v>0</v>
      </c>
      <c r="H10" s="27">
        <v>0</v>
      </c>
      <c r="I10" s="27">
        <v>0</v>
      </c>
      <c r="J10" s="27">
        <v>0</v>
      </c>
      <c r="K10" s="27">
        <v>0</v>
      </c>
      <c r="L10" s="27">
        <v>0</v>
      </c>
      <c r="M10" s="27">
        <v>0</v>
      </c>
      <c r="N10" s="2"/>
      <c r="O10" s="29"/>
      <c r="P10" s="31">
        <v>5</v>
      </c>
      <c r="Q10" s="32" t="s">
        <v>133</v>
      </c>
      <c r="R10" s="33" t="s">
        <v>96</v>
      </c>
      <c r="S10" s="33" t="s">
        <v>91</v>
      </c>
      <c r="T10" s="55">
        <v>2500</v>
      </c>
      <c r="U10" s="55">
        <v>2</v>
      </c>
      <c r="V10" s="33">
        <v>5000</v>
      </c>
      <c r="W10" s="31">
        <v>24</v>
      </c>
      <c r="X10" s="50"/>
      <c r="Y10" s="36">
        <f t="shared" si="0"/>
        <v>208.33333333333334</v>
      </c>
      <c r="Z10" s="23"/>
      <c r="AA10" s="23"/>
      <c r="AB10" s="23"/>
      <c r="AC10" s="23"/>
    </row>
    <row r="11" spans="1:29" ht="14">
      <c r="A11" s="26" t="s">
        <v>136</v>
      </c>
      <c r="B11" s="27">
        <v>26000</v>
      </c>
      <c r="C11" s="27">
        <v>10000</v>
      </c>
      <c r="D11" s="27">
        <v>10000</v>
      </c>
      <c r="E11" s="27">
        <v>10000</v>
      </c>
      <c r="F11" s="27">
        <v>8000</v>
      </c>
      <c r="G11" s="27">
        <v>8000</v>
      </c>
      <c r="H11" s="27">
        <v>8000</v>
      </c>
      <c r="I11" s="27">
        <v>8000</v>
      </c>
      <c r="J11" s="27">
        <v>8000</v>
      </c>
      <c r="K11" s="27">
        <v>8000</v>
      </c>
      <c r="L11" s="27">
        <v>8000</v>
      </c>
      <c r="M11" s="27">
        <v>8000</v>
      </c>
      <c r="N11" s="2"/>
      <c r="O11" s="37"/>
      <c r="P11" s="38">
        <v>6</v>
      </c>
      <c r="Q11" s="55" t="s">
        <v>142</v>
      </c>
      <c r="R11" s="33" t="s">
        <v>96</v>
      </c>
      <c r="S11" s="33" t="s">
        <v>143</v>
      </c>
      <c r="T11" s="55">
        <v>1500</v>
      </c>
      <c r="U11" s="55">
        <v>2</v>
      </c>
      <c r="V11" s="33">
        <v>3000</v>
      </c>
      <c r="W11" s="31">
        <v>24</v>
      </c>
      <c r="X11" s="50"/>
      <c r="Y11" s="36">
        <f t="shared" si="0"/>
        <v>125</v>
      </c>
      <c r="Z11" s="23"/>
      <c r="AA11" s="23"/>
      <c r="AB11" s="23"/>
      <c r="AC11" s="23"/>
    </row>
    <row r="12" spans="1:29" ht="14">
      <c r="A12" s="26" t="s">
        <v>148</v>
      </c>
      <c r="B12" s="27">
        <v>6000</v>
      </c>
      <c r="C12" s="27">
        <v>6000</v>
      </c>
      <c r="D12" s="27">
        <v>6000</v>
      </c>
      <c r="E12" s="27">
        <v>6000</v>
      </c>
      <c r="F12" s="27">
        <v>6000</v>
      </c>
      <c r="G12" s="27">
        <v>6000</v>
      </c>
      <c r="H12" s="27">
        <v>6000</v>
      </c>
      <c r="I12" s="27">
        <v>6000</v>
      </c>
      <c r="J12" s="27">
        <v>6000</v>
      </c>
      <c r="K12" s="27">
        <v>6000</v>
      </c>
      <c r="L12" s="27">
        <v>6000</v>
      </c>
      <c r="M12" s="27">
        <v>6000</v>
      </c>
      <c r="N12" s="2"/>
      <c r="O12" s="29"/>
      <c r="P12" s="31">
        <v>7</v>
      </c>
      <c r="Q12" s="48" t="s">
        <v>154</v>
      </c>
      <c r="R12" s="33" t="s">
        <v>96</v>
      </c>
      <c r="S12" s="33" t="s">
        <v>91</v>
      </c>
      <c r="T12" s="60">
        <v>4000</v>
      </c>
      <c r="U12" s="48">
        <v>1</v>
      </c>
      <c r="V12" s="33">
        <v>4000</v>
      </c>
      <c r="W12" s="31">
        <v>24</v>
      </c>
      <c r="X12" s="62"/>
      <c r="Y12" s="36">
        <f t="shared" si="0"/>
        <v>166.66666666666666</v>
      </c>
      <c r="Z12" s="23"/>
      <c r="AA12" s="23"/>
      <c r="AB12" s="23"/>
      <c r="AC12" s="23"/>
    </row>
    <row r="13" spans="1:29" ht="28">
      <c r="A13" s="26" t="s">
        <v>163</v>
      </c>
      <c r="B13" s="27">
        <v>3000</v>
      </c>
      <c r="C13" s="27">
        <v>3000</v>
      </c>
      <c r="D13" s="27">
        <v>3000</v>
      </c>
      <c r="E13" s="27">
        <v>3000</v>
      </c>
      <c r="F13" s="27">
        <v>3000</v>
      </c>
      <c r="G13" s="27">
        <v>3000</v>
      </c>
      <c r="H13" s="27">
        <v>3000</v>
      </c>
      <c r="I13" s="27">
        <v>3000</v>
      </c>
      <c r="J13" s="27">
        <v>3000</v>
      </c>
      <c r="K13" s="27">
        <v>3000</v>
      </c>
      <c r="L13" s="27">
        <v>3000</v>
      </c>
      <c r="M13" s="27">
        <v>3000</v>
      </c>
      <c r="N13" s="2"/>
      <c r="O13" s="37"/>
      <c r="P13" s="38">
        <v>8</v>
      </c>
      <c r="Q13" s="48" t="s">
        <v>166</v>
      </c>
      <c r="R13" s="33" t="s">
        <v>96</v>
      </c>
      <c r="S13" s="33" t="s">
        <v>91</v>
      </c>
      <c r="T13" s="64">
        <v>6000</v>
      </c>
      <c r="U13" s="65">
        <v>1</v>
      </c>
      <c r="V13" s="33">
        <v>6000</v>
      </c>
      <c r="W13" s="31">
        <v>24</v>
      </c>
      <c r="X13" s="62"/>
      <c r="Y13" s="36">
        <f t="shared" si="0"/>
        <v>250</v>
      </c>
      <c r="Z13" s="23"/>
      <c r="AA13" s="23"/>
      <c r="AB13" s="23"/>
      <c r="AC13" s="23"/>
    </row>
    <row r="14" spans="1:29" ht="14">
      <c r="A14" s="26" t="s">
        <v>174</v>
      </c>
      <c r="B14" s="27">
        <v>234282</v>
      </c>
      <c r="C14" s="27">
        <v>219282</v>
      </c>
      <c r="D14" s="27">
        <v>218282</v>
      </c>
      <c r="E14" s="27">
        <v>218282</v>
      </c>
      <c r="F14" s="27">
        <v>218282</v>
      </c>
      <c r="G14" s="27">
        <v>218282</v>
      </c>
      <c r="H14" s="27">
        <v>218282</v>
      </c>
      <c r="I14" s="27">
        <v>218282</v>
      </c>
      <c r="J14" s="27">
        <v>218282</v>
      </c>
      <c r="K14" s="27">
        <v>218282</v>
      </c>
      <c r="L14" s="27">
        <v>218282</v>
      </c>
      <c r="M14" s="27">
        <v>218282</v>
      </c>
      <c r="N14" s="2"/>
      <c r="O14" s="29"/>
      <c r="P14" s="31">
        <v>9</v>
      </c>
      <c r="Q14" s="48" t="s">
        <v>179</v>
      </c>
      <c r="R14" s="33" t="s">
        <v>96</v>
      </c>
      <c r="S14" s="33" t="s">
        <v>143</v>
      </c>
      <c r="T14" s="60">
        <v>2000</v>
      </c>
      <c r="U14" s="48">
        <v>2</v>
      </c>
      <c r="V14" s="33">
        <v>4000</v>
      </c>
      <c r="W14" s="31">
        <v>24</v>
      </c>
      <c r="X14" s="62"/>
      <c r="Y14" s="36">
        <f t="shared" si="0"/>
        <v>166.66666666666666</v>
      </c>
      <c r="Z14" s="23"/>
      <c r="AA14" s="23"/>
      <c r="AB14" s="23"/>
      <c r="AC14" s="23"/>
    </row>
    <row r="15" spans="1:29" ht="14">
      <c r="A15" s="68" t="s">
        <v>184</v>
      </c>
      <c r="B15" s="148">
        <f>SUM(B14:M14)</f>
        <v>2636384</v>
      </c>
      <c r="C15" s="149"/>
      <c r="D15" s="149"/>
      <c r="E15" s="149"/>
      <c r="F15" s="149"/>
      <c r="G15" s="149"/>
      <c r="H15" s="149"/>
      <c r="I15" s="149"/>
      <c r="J15" s="149"/>
      <c r="K15" s="149"/>
      <c r="L15" s="149"/>
      <c r="M15" s="150"/>
      <c r="N15" s="2"/>
      <c r="O15" s="29"/>
      <c r="P15" s="31">
        <v>11</v>
      </c>
      <c r="Q15" s="48" t="s">
        <v>188</v>
      </c>
      <c r="R15" s="33" t="s">
        <v>96</v>
      </c>
      <c r="S15" s="33" t="s">
        <v>91</v>
      </c>
      <c r="T15" s="60">
        <v>20000</v>
      </c>
      <c r="U15" s="48">
        <v>1</v>
      </c>
      <c r="V15" s="33">
        <v>20000</v>
      </c>
      <c r="W15" s="31">
        <v>24</v>
      </c>
      <c r="X15" s="62"/>
      <c r="Y15" s="36">
        <f t="shared" si="0"/>
        <v>833.33333333333337</v>
      </c>
      <c r="Z15" s="2"/>
      <c r="AA15" s="2"/>
      <c r="AB15" s="2"/>
      <c r="AC15" s="2"/>
    </row>
    <row r="16" spans="1:29" ht="14">
      <c r="A16" s="69" t="s">
        <v>189</v>
      </c>
      <c r="B16" s="71"/>
      <c r="C16" s="2"/>
      <c r="D16" s="2"/>
      <c r="E16" s="2"/>
      <c r="F16" s="2"/>
      <c r="G16" s="2"/>
      <c r="H16" s="2"/>
      <c r="I16" s="2"/>
      <c r="J16" s="2"/>
      <c r="K16" s="2"/>
      <c r="L16" s="2"/>
      <c r="M16" s="2"/>
      <c r="N16" s="2"/>
      <c r="O16" s="29"/>
      <c r="P16" s="31">
        <v>13</v>
      </c>
      <c r="Q16" s="48" t="s">
        <v>190</v>
      </c>
      <c r="R16" s="33" t="s">
        <v>96</v>
      </c>
      <c r="S16" s="65" t="s">
        <v>91</v>
      </c>
      <c r="T16" s="65">
        <v>15000</v>
      </c>
      <c r="U16" s="73">
        <v>1</v>
      </c>
      <c r="V16" s="65">
        <v>15000</v>
      </c>
      <c r="W16" s="31">
        <v>24</v>
      </c>
      <c r="X16" s="62"/>
      <c r="Y16" s="36">
        <f t="shared" si="0"/>
        <v>625</v>
      </c>
      <c r="Z16" s="2"/>
      <c r="AA16" s="2"/>
      <c r="AB16" s="2"/>
      <c r="AC16" s="2"/>
    </row>
    <row r="17" spans="1:29" ht="14">
      <c r="A17" s="74"/>
      <c r="B17" s="2"/>
      <c r="C17" s="2"/>
      <c r="D17" s="2"/>
      <c r="E17" s="2"/>
      <c r="F17" s="2"/>
      <c r="G17" s="2"/>
      <c r="H17" s="2"/>
      <c r="I17" s="2"/>
      <c r="J17" s="2"/>
      <c r="K17" s="2"/>
      <c r="L17" s="2"/>
      <c r="M17" s="2"/>
      <c r="N17" s="2"/>
      <c r="O17" s="37"/>
      <c r="P17" s="38">
        <v>14</v>
      </c>
      <c r="Q17" s="48" t="s">
        <v>191</v>
      </c>
      <c r="R17" s="33" t="s">
        <v>96</v>
      </c>
      <c r="S17" s="48" t="s">
        <v>91</v>
      </c>
      <c r="T17" s="48">
        <v>2000</v>
      </c>
      <c r="U17" s="48">
        <v>1</v>
      </c>
      <c r="V17" s="48">
        <v>2000</v>
      </c>
      <c r="W17" s="31">
        <v>24</v>
      </c>
      <c r="X17" s="62"/>
      <c r="Y17" s="36">
        <f t="shared" si="0"/>
        <v>83.333333333333329</v>
      </c>
      <c r="Z17" s="2"/>
      <c r="AA17" s="2"/>
      <c r="AB17" s="2"/>
      <c r="AC17" s="2"/>
    </row>
    <row r="18" spans="1:29" ht="14">
      <c r="A18" s="75"/>
      <c r="B18" s="76" t="s">
        <v>56</v>
      </c>
      <c r="C18" s="76" t="s">
        <v>61</v>
      </c>
      <c r="D18" s="76" t="s">
        <v>62</v>
      </c>
      <c r="E18" s="76" t="s">
        <v>65</v>
      </c>
      <c r="F18" s="76" t="s">
        <v>68</v>
      </c>
      <c r="G18" s="76" t="s">
        <v>70</v>
      </c>
      <c r="H18" s="76" t="s">
        <v>71</v>
      </c>
      <c r="I18" s="76" t="s">
        <v>72</v>
      </c>
      <c r="J18" s="76" t="s">
        <v>73</v>
      </c>
      <c r="K18" s="76" t="s">
        <v>74</v>
      </c>
      <c r="L18" s="76" t="s">
        <v>75</v>
      </c>
      <c r="M18" s="76" t="s">
        <v>76</v>
      </c>
      <c r="N18" s="2"/>
      <c r="O18" s="37"/>
      <c r="P18" s="38">
        <v>16</v>
      </c>
      <c r="Q18" s="48" t="s">
        <v>193</v>
      </c>
      <c r="R18" s="33" t="s">
        <v>96</v>
      </c>
      <c r="S18" s="48" t="s">
        <v>91</v>
      </c>
      <c r="T18" s="48">
        <v>8000</v>
      </c>
      <c r="U18" s="48">
        <v>1</v>
      </c>
      <c r="V18" s="48">
        <v>8000</v>
      </c>
      <c r="W18" s="31">
        <v>24</v>
      </c>
      <c r="X18" s="62"/>
      <c r="Y18" s="36">
        <f t="shared" si="0"/>
        <v>333.33333333333331</v>
      </c>
      <c r="Z18" s="2"/>
      <c r="AA18" s="2"/>
      <c r="AB18" s="2"/>
    </row>
    <row r="19" spans="1:29" ht="14">
      <c r="A19" s="26" t="s">
        <v>195</v>
      </c>
      <c r="B19" s="77">
        <f>B14</f>
        <v>234282</v>
      </c>
      <c r="C19" s="77">
        <f t="shared" ref="C19:F19" si="1">SUM(C14:C18)</f>
        <v>219282</v>
      </c>
      <c r="D19" s="77">
        <f t="shared" si="1"/>
        <v>218282</v>
      </c>
      <c r="E19" s="77">
        <f t="shared" si="1"/>
        <v>218282</v>
      </c>
      <c r="F19" s="77">
        <f t="shared" si="1"/>
        <v>218282</v>
      </c>
      <c r="G19" s="77">
        <f>G14</f>
        <v>218282</v>
      </c>
      <c r="H19" s="77">
        <f t="shared" ref="H19:M19" si="2">SUM(H14:H18)</f>
        <v>218282</v>
      </c>
      <c r="I19" s="77">
        <f t="shared" si="2"/>
        <v>218282</v>
      </c>
      <c r="J19" s="77">
        <f t="shared" si="2"/>
        <v>218282</v>
      </c>
      <c r="K19" s="77">
        <f t="shared" si="2"/>
        <v>218282</v>
      </c>
      <c r="L19" s="77">
        <f t="shared" si="2"/>
        <v>218282</v>
      </c>
      <c r="M19" s="77">
        <f t="shared" si="2"/>
        <v>218282</v>
      </c>
      <c r="N19" s="2"/>
      <c r="O19" s="29"/>
      <c r="P19" s="31">
        <v>17</v>
      </c>
      <c r="Q19" s="48" t="s">
        <v>198</v>
      </c>
      <c r="R19" s="33" t="s">
        <v>96</v>
      </c>
      <c r="S19" s="48" t="s">
        <v>91</v>
      </c>
      <c r="T19" s="48">
        <v>1500</v>
      </c>
      <c r="U19" s="48">
        <v>1</v>
      </c>
      <c r="V19" s="48">
        <v>1500</v>
      </c>
      <c r="W19" s="31">
        <v>24</v>
      </c>
      <c r="X19" s="62"/>
      <c r="Y19" s="36">
        <f t="shared" si="0"/>
        <v>62.5</v>
      </c>
      <c r="Z19" s="2"/>
      <c r="AA19" s="2"/>
      <c r="AB19" s="2"/>
    </row>
    <row r="20" spans="1:29" ht="14">
      <c r="A20" s="26" t="s">
        <v>199</v>
      </c>
      <c r="B20" s="77">
        <f t="shared" ref="B20:M20" si="3">C173</f>
        <v>86210</v>
      </c>
      <c r="C20" s="77">
        <f t="shared" si="3"/>
        <v>86061</v>
      </c>
      <c r="D20" s="77">
        <f t="shared" si="3"/>
        <v>86219</v>
      </c>
      <c r="E20" s="77">
        <f t="shared" si="3"/>
        <v>86534</v>
      </c>
      <c r="F20" s="77">
        <f t="shared" si="3"/>
        <v>87830</v>
      </c>
      <c r="G20" s="77">
        <f t="shared" si="3"/>
        <v>87917</v>
      </c>
      <c r="H20" s="77">
        <f t="shared" si="3"/>
        <v>87450</v>
      </c>
      <c r="I20" s="77">
        <f t="shared" si="3"/>
        <v>87561</v>
      </c>
      <c r="J20" s="77">
        <f t="shared" si="3"/>
        <v>87964</v>
      </c>
      <c r="K20" s="77">
        <f t="shared" si="3"/>
        <v>88219</v>
      </c>
      <c r="L20" s="77">
        <f t="shared" si="3"/>
        <v>88244</v>
      </c>
      <c r="M20" s="77">
        <f t="shared" si="3"/>
        <v>88209</v>
      </c>
      <c r="N20" s="2"/>
      <c r="O20" s="29"/>
      <c r="P20" s="31">
        <v>18</v>
      </c>
      <c r="Q20" s="48" t="s">
        <v>200</v>
      </c>
      <c r="R20" s="33" t="s">
        <v>96</v>
      </c>
      <c r="S20" s="65" t="s">
        <v>91</v>
      </c>
      <c r="T20" s="78">
        <v>2000</v>
      </c>
      <c r="U20" s="65">
        <v>1</v>
      </c>
      <c r="V20" s="65">
        <v>2000</v>
      </c>
      <c r="W20" s="31">
        <v>24</v>
      </c>
      <c r="X20" s="62"/>
      <c r="Y20" s="36">
        <f t="shared" si="0"/>
        <v>83.333333333333329</v>
      </c>
      <c r="Z20" s="2"/>
      <c r="AA20" s="2"/>
      <c r="AB20" s="2"/>
    </row>
    <row r="21" spans="1:29" ht="27.75" customHeight="1">
      <c r="A21" s="26" t="s">
        <v>201</v>
      </c>
      <c r="B21" s="77">
        <f t="shared" ref="B21:M21" si="4">SUM(B19:B20)</f>
        <v>320492</v>
      </c>
      <c r="C21" s="77">
        <f t="shared" si="4"/>
        <v>305343</v>
      </c>
      <c r="D21" s="77">
        <f t="shared" si="4"/>
        <v>304501</v>
      </c>
      <c r="E21" s="77">
        <f t="shared" si="4"/>
        <v>304816</v>
      </c>
      <c r="F21" s="77">
        <f t="shared" si="4"/>
        <v>306112</v>
      </c>
      <c r="G21" s="77">
        <f t="shared" si="4"/>
        <v>306199</v>
      </c>
      <c r="H21" s="77">
        <f t="shared" si="4"/>
        <v>305732</v>
      </c>
      <c r="I21" s="77">
        <f t="shared" si="4"/>
        <v>305843</v>
      </c>
      <c r="J21" s="77">
        <f t="shared" si="4"/>
        <v>306246</v>
      </c>
      <c r="K21" s="77">
        <f t="shared" si="4"/>
        <v>306501</v>
      </c>
      <c r="L21" s="77">
        <f t="shared" si="4"/>
        <v>306526</v>
      </c>
      <c r="M21" s="77">
        <f t="shared" si="4"/>
        <v>306491</v>
      </c>
      <c r="N21" s="2"/>
      <c r="O21" s="37"/>
      <c r="P21" s="38">
        <v>19</v>
      </c>
      <c r="Q21" s="48" t="s">
        <v>202</v>
      </c>
      <c r="R21" s="33" t="s">
        <v>96</v>
      </c>
      <c r="S21" s="48" t="s">
        <v>143</v>
      </c>
      <c r="T21" s="48">
        <v>4000</v>
      </c>
      <c r="U21" s="48">
        <v>1</v>
      </c>
      <c r="V21" s="48">
        <v>4000</v>
      </c>
      <c r="W21" s="31">
        <v>24</v>
      </c>
      <c r="X21" s="62"/>
      <c r="Y21" s="36">
        <f t="shared" si="0"/>
        <v>166.66666666666666</v>
      </c>
      <c r="Z21" s="2"/>
      <c r="AA21" s="2"/>
      <c r="AB21" s="2"/>
    </row>
    <row r="22" spans="1:29" ht="14">
      <c r="A22" s="80" t="s">
        <v>203</v>
      </c>
      <c r="B22" s="151">
        <f>SUM(B21:M21)</f>
        <v>3684802</v>
      </c>
      <c r="C22" s="149"/>
      <c r="D22" s="149"/>
      <c r="E22" s="149"/>
      <c r="F22" s="149"/>
      <c r="G22" s="149"/>
      <c r="H22" s="149"/>
      <c r="I22" s="149"/>
      <c r="J22" s="149"/>
      <c r="K22" s="149"/>
      <c r="L22" s="149"/>
      <c r="M22" s="150"/>
      <c r="N22" s="2"/>
      <c r="O22" s="29"/>
      <c r="P22" s="31">
        <v>20</v>
      </c>
      <c r="Q22" s="48" t="s">
        <v>204</v>
      </c>
      <c r="R22" s="33" t="s">
        <v>96</v>
      </c>
      <c r="S22" s="48" t="s">
        <v>143</v>
      </c>
      <c r="T22" s="48">
        <v>5000</v>
      </c>
      <c r="U22" s="48">
        <v>1</v>
      </c>
      <c r="V22" s="48">
        <v>5000</v>
      </c>
      <c r="W22" s="31">
        <v>24</v>
      </c>
      <c r="X22" s="62"/>
      <c r="Y22" s="36">
        <f t="shared" si="0"/>
        <v>208.33333333333334</v>
      </c>
      <c r="Z22" s="2"/>
      <c r="AA22" s="2"/>
      <c r="AB22" s="2"/>
    </row>
    <row r="23" spans="1:29" ht="14">
      <c r="A23" s="74"/>
      <c r="B23" s="2"/>
      <c r="C23" s="2"/>
      <c r="D23" s="2"/>
      <c r="E23" s="2"/>
      <c r="F23" s="2"/>
      <c r="G23" s="2"/>
      <c r="H23" s="2"/>
      <c r="I23" s="2"/>
      <c r="J23" s="2"/>
      <c r="K23" s="2"/>
      <c r="L23" s="2"/>
      <c r="M23" s="2"/>
      <c r="N23" s="2"/>
      <c r="O23" s="37"/>
      <c r="P23" s="38">
        <v>21</v>
      </c>
      <c r="Q23" s="48" t="s">
        <v>205</v>
      </c>
      <c r="R23" s="33" t="s">
        <v>96</v>
      </c>
      <c r="S23" s="48" t="s">
        <v>91</v>
      </c>
      <c r="T23" s="48">
        <v>2000</v>
      </c>
      <c r="U23" s="48">
        <v>1</v>
      </c>
      <c r="V23" s="48">
        <v>2000</v>
      </c>
      <c r="W23" s="31">
        <v>24</v>
      </c>
      <c r="X23" s="62"/>
      <c r="Y23" s="36">
        <f t="shared" si="0"/>
        <v>83.333333333333329</v>
      </c>
      <c r="Z23" s="2"/>
      <c r="AA23" s="2"/>
      <c r="AB23" s="2"/>
    </row>
    <row r="24" spans="1:29" ht="14">
      <c r="A24" s="74"/>
      <c r="B24" s="2"/>
      <c r="C24" s="2"/>
      <c r="D24" s="2"/>
      <c r="E24" s="2"/>
      <c r="F24" s="2"/>
      <c r="G24" s="2"/>
      <c r="H24" s="2"/>
      <c r="I24" s="2"/>
      <c r="J24" s="2"/>
      <c r="K24" s="2"/>
      <c r="L24" s="2"/>
      <c r="M24" s="2"/>
      <c r="N24" s="2"/>
      <c r="O24" s="29"/>
      <c r="P24" s="31">
        <v>22</v>
      </c>
      <c r="Q24" s="48" t="s">
        <v>206</v>
      </c>
      <c r="R24" s="33" t="s">
        <v>96</v>
      </c>
      <c r="S24" s="48" t="s">
        <v>143</v>
      </c>
      <c r="T24" s="48">
        <v>6000</v>
      </c>
      <c r="U24" s="48">
        <v>1</v>
      </c>
      <c r="V24" s="48">
        <v>6000</v>
      </c>
      <c r="W24" s="31">
        <v>24</v>
      </c>
      <c r="X24" s="62"/>
      <c r="Y24" s="36">
        <f t="shared" si="0"/>
        <v>250</v>
      </c>
      <c r="Z24" s="2"/>
      <c r="AA24" s="2"/>
      <c r="AB24" s="2"/>
    </row>
    <row r="25" spans="1:29" ht="14">
      <c r="A25" s="81" t="s">
        <v>207</v>
      </c>
      <c r="B25" s="2"/>
      <c r="C25" s="2"/>
      <c r="D25" s="2"/>
      <c r="E25" s="2"/>
      <c r="F25" s="2"/>
      <c r="G25" s="2"/>
      <c r="H25" s="2"/>
      <c r="I25" s="2"/>
      <c r="J25" s="2"/>
      <c r="K25" s="2"/>
      <c r="L25" s="2"/>
      <c r="M25" s="2"/>
      <c r="N25" s="2"/>
      <c r="O25" s="37"/>
      <c r="P25" s="38">
        <v>23</v>
      </c>
      <c r="Q25" s="48" t="s">
        <v>208</v>
      </c>
      <c r="R25" s="33" t="s">
        <v>96</v>
      </c>
      <c r="S25" s="48" t="s">
        <v>91</v>
      </c>
      <c r="T25" s="48">
        <v>1500</v>
      </c>
      <c r="U25" s="48">
        <v>1</v>
      </c>
      <c r="V25" s="48">
        <v>1500</v>
      </c>
      <c r="W25" s="31">
        <v>24</v>
      </c>
      <c r="X25" s="62"/>
      <c r="Y25" s="36">
        <f t="shared" si="0"/>
        <v>62.5</v>
      </c>
      <c r="Z25" s="2"/>
      <c r="AA25" s="2"/>
      <c r="AB25" s="2"/>
    </row>
    <row r="26" spans="1:29" ht="14">
      <c r="A26" s="82"/>
      <c r="B26" s="2"/>
      <c r="C26" s="2"/>
      <c r="D26" s="2"/>
      <c r="E26" s="2"/>
      <c r="F26" s="2"/>
      <c r="G26" s="2"/>
      <c r="H26" s="2"/>
      <c r="I26" s="2"/>
      <c r="J26" s="2"/>
      <c r="K26" s="2"/>
      <c r="L26" s="2"/>
      <c r="M26" s="2"/>
      <c r="N26" s="2"/>
      <c r="O26" s="29"/>
      <c r="P26" s="31">
        <v>24</v>
      </c>
      <c r="Q26" s="48" t="s">
        <v>209</v>
      </c>
      <c r="R26" s="33" t="s">
        <v>96</v>
      </c>
      <c r="S26" s="48" t="s">
        <v>91</v>
      </c>
      <c r="T26" s="48">
        <v>6000</v>
      </c>
      <c r="U26" s="48">
        <v>1</v>
      </c>
      <c r="V26" s="48">
        <v>6000</v>
      </c>
      <c r="W26" s="31">
        <v>24</v>
      </c>
      <c r="X26" s="62"/>
      <c r="Y26" s="36">
        <f t="shared" si="0"/>
        <v>250</v>
      </c>
      <c r="Z26" s="2"/>
      <c r="AA26" s="2"/>
      <c r="AB26" s="2"/>
    </row>
    <row r="27" spans="1:29" ht="14">
      <c r="A27" s="83"/>
      <c r="B27" s="12"/>
      <c r="C27" s="12"/>
      <c r="D27" s="12"/>
      <c r="E27" s="12"/>
      <c r="F27" s="12"/>
      <c r="G27" s="12"/>
      <c r="H27" s="12"/>
      <c r="I27" s="12"/>
      <c r="J27" s="12"/>
      <c r="K27" s="12"/>
      <c r="L27" s="12"/>
      <c r="M27" s="12"/>
      <c r="N27" s="2"/>
      <c r="O27" s="37"/>
      <c r="P27" s="38">
        <v>25</v>
      </c>
      <c r="Q27" s="48" t="s">
        <v>210</v>
      </c>
      <c r="R27" s="33" t="s">
        <v>96</v>
      </c>
      <c r="S27" s="48" t="s">
        <v>91</v>
      </c>
      <c r="T27" s="48">
        <v>1000</v>
      </c>
      <c r="U27" s="48">
        <v>1</v>
      </c>
      <c r="V27" s="48">
        <v>1000</v>
      </c>
      <c r="W27" s="31">
        <v>24</v>
      </c>
      <c r="X27" s="62"/>
      <c r="Y27" s="36">
        <f t="shared" si="0"/>
        <v>41.666666666666664</v>
      </c>
      <c r="Z27" s="2"/>
      <c r="AA27" s="2"/>
      <c r="AB27" s="2"/>
    </row>
    <row r="28" spans="1:29" ht="14">
      <c r="A28" s="152"/>
      <c r="B28" s="152"/>
      <c r="C28" s="153"/>
      <c r="D28" s="153"/>
      <c r="E28" s="153"/>
      <c r="F28" s="153"/>
      <c r="G28" s="153"/>
      <c r="H28" s="153"/>
      <c r="I28" s="153"/>
      <c r="J28" s="153"/>
      <c r="K28" s="153"/>
      <c r="L28" s="153"/>
      <c r="M28" s="153"/>
      <c r="N28" s="2"/>
      <c r="O28" s="29"/>
      <c r="P28" s="31">
        <v>26</v>
      </c>
      <c r="Q28" s="48" t="s">
        <v>211</v>
      </c>
      <c r="R28" s="33" t="s">
        <v>96</v>
      </c>
      <c r="S28" s="48" t="s">
        <v>143</v>
      </c>
      <c r="T28" s="48">
        <v>1500</v>
      </c>
      <c r="U28" s="48">
        <v>1</v>
      </c>
      <c r="V28" s="48">
        <v>1500</v>
      </c>
      <c r="W28" s="31">
        <v>24</v>
      </c>
      <c r="X28" s="62"/>
      <c r="Y28" s="36">
        <f t="shared" si="0"/>
        <v>62.5</v>
      </c>
      <c r="Z28" s="2"/>
      <c r="AA28" s="2"/>
      <c r="AB28" s="2"/>
    </row>
    <row r="29" spans="1:29" ht="14">
      <c r="A29" s="153"/>
      <c r="B29" s="84"/>
      <c r="C29" s="84"/>
      <c r="D29" s="84"/>
      <c r="E29" s="84"/>
      <c r="F29" s="84"/>
      <c r="G29" s="84"/>
      <c r="H29" s="84"/>
      <c r="I29" s="84"/>
      <c r="J29" s="84"/>
      <c r="K29" s="84"/>
      <c r="L29" s="84"/>
      <c r="M29" s="84"/>
      <c r="N29" s="2"/>
      <c r="O29" s="37"/>
      <c r="P29" s="38">
        <v>27</v>
      </c>
      <c r="Q29" s="48" t="s">
        <v>212</v>
      </c>
      <c r="R29" s="33" t="s">
        <v>96</v>
      </c>
      <c r="S29" s="48" t="s">
        <v>143</v>
      </c>
      <c r="T29" s="48">
        <v>2000</v>
      </c>
      <c r="U29" s="48">
        <v>2</v>
      </c>
      <c r="V29" s="48">
        <v>4000</v>
      </c>
      <c r="W29" s="31">
        <v>24</v>
      </c>
      <c r="X29" s="62"/>
      <c r="Y29" s="36">
        <f t="shared" si="0"/>
        <v>166.66666666666666</v>
      </c>
      <c r="Z29" s="2"/>
      <c r="AA29" s="2"/>
      <c r="AB29" s="2"/>
    </row>
    <row r="30" spans="1:29" ht="14">
      <c r="A30" s="85"/>
      <c r="B30" s="86"/>
      <c r="C30" s="86"/>
      <c r="D30" s="86"/>
      <c r="E30" s="86"/>
      <c r="F30" s="86"/>
      <c r="G30" s="86"/>
      <c r="H30" s="86"/>
      <c r="I30" s="86"/>
      <c r="J30" s="86"/>
      <c r="K30" s="86"/>
      <c r="L30" s="86"/>
      <c r="M30" s="86"/>
      <c r="N30" s="2"/>
      <c r="O30" s="29"/>
      <c r="P30" s="31">
        <v>28</v>
      </c>
      <c r="Q30" s="48" t="s">
        <v>213</v>
      </c>
      <c r="R30" s="33" t="s">
        <v>96</v>
      </c>
      <c r="S30" s="48" t="s">
        <v>91</v>
      </c>
      <c r="T30" s="48">
        <v>2000</v>
      </c>
      <c r="U30" s="48">
        <v>4</v>
      </c>
      <c r="V30" s="48">
        <v>8000</v>
      </c>
      <c r="W30" s="31">
        <v>24</v>
      </c>
      <c r="X30" s="62"/>
      <c r="Y30" s="36">
        <f t="shared" si="0"/>
        <v>333.33333333333331</v>
      </c>
      <c r="Z30" s="2"/>
      <c r="AA30" s="2"/>
      <c r="AB30" s="2"/>
      <c r="AC30" s="2"/>
    </row>
    <row r="31" spans="1:29" ht="14">
      <c r="A31" s="85"/>
      <c r="B31" s="86"/>
      <c r="C31" s="86"/>
      <c r="D31" s="86"/>
      <c r="E31" s="86"/>
      <c r="F31" s="86"/>
      <c r="G31" s="86"/>
      <c r="H31" s="86"/>
      <c r="I31" s="86"/>
      <c r="J31" s="86"/>
      <c r="K31" s="86"/>
      <c r="L31" s="86"/>
      <c r="M31" s="86"/>
      <c r="N31" s="2"/>
      <c r="O31" s="37"/>
      <c r="P31" s="38">
        <v>29</v>
      </c>
      <c r="Q31" s="48" t="s">
        <v>214</v>
      </c>
      <c r="R31" s="33" t="s">
        <v>96</v>
      </c>
      <c r="S31" s="48" t="s">
        <v>215</v>
      </c>
      <c r="T31" s="48">
        <v>100</v>
      </c>
      <c r="U31" s="48">
        <v>400</v>
      </c>
      <c r="V31" s="48">
        <v>40000</v>
      </c>
      <c r="W31" s="31">
        <v>24</v>
      </c>
      <c r="X31" s="62"/>
      <c r="Y31" s="36">
        <f t="shared" si="0"/>
        <v>1666.6666666666667</v>
      </c>
      <c r="Z31" s="2"/>
      <c r="AA31" s="2"/>
      <c r="AB31" s="2"/>
      <c r="AC31" s="2"/>
    </row>
    <row r="32" spans="1:29" ht="14">
      <c r="A32" s="85"/>
      <c r="B32" s="154"/>
      <c r="C32" s="153"/>
      <c r="D32" s="153"/>
      <c r="E32" s="153"/>
      <c r="F32" s="153"/>
      <c r="G32" s="153"/>
      <c r="H32" s="153"/>
      <c r="I32" s="153"/>
      <c r="J32" s="153"/>
      <c r="K32" s="153"/>
      <c r="L32" s="153"/>
      <c r="M32" s="153"/>
      <c r="N32" s="2"/>
      <c r="O32" s="29"/>
      <c r="P32" s="31">
        <v>32</v>
      </c>
      <c r="Q32" s="48" t="s">
        <v>216</v>
      </c>
      <c r="R32" s="33" t="s">
        <v>96</v>
      </c>
      <c r="S32" s="48" t="s">
        <v>91</v>
      </c>
      <c r="T32" s="48">
        <v>8000</v>
      </c>
      <c r="U32" s="48">
        <v>1</v>
      </c>
      <c r="V32" s="48">
        <v>8000</v>
      </c>
      <c r="W32" s="31">
        <v>24</v>
      </c>
      <c r="X32" s="62"/>
      <c r="Y32" s="36">
        <f t="shared" si="0"/>
        <v>333.33333333333331</v>
      </c>
      <c r="Z32" s="2"/>
      <c r="AA32" s="2"/>
      <c r="AB32" s="2"/>
      <c r="AC32" s="2"/>
    </row>
    <row r="33" spans="1:29" ht="14">
      <c r="A33" s="85"/>
      <c r="B33" s="154"/>
      <c r="C33" s="153"/>
      <c r="D33" s="153"/>
      <c r="E33" s="153"/>
      <c r="F33" s="153"/>
      <c r="G33" s="153"/>
      <c r="H33" s="153"/>
      <c r="I33" s="153"/>
      <c r="J33" s="153"/>
      <c r="K33" s="153"/>
      <c r="L33" s="153"/>
      <c r="M33" s="153"/>
      <c r="N33" s="2"/>
      <c r="O33" s="37"/>
      <c r="P33" s="38">
        <v>33</v>
      </c>
      <c r="Q33" s="48" t="s">
        <v>217</v>
      </c>
      <c r="R33" s="33" t="s">
        <v>96</v>
      </c>
      <c r="S33" s="48" t="s">
        <v>143</v>
      </c>
      <c r="T33" s="48">
        <v>2000</v>
      </c>
      <c r="U33" s="48">
        <v>1</v>
      </c>
      <c r="V33" s="48">
        <v>2000</v>
      </c>
      <c r="W33" s="31">
        <v>24</v>
      </c>
      <c r="X33" s="62"/>
      <c r="Y33" s="36">
        <f t="shared" si="0"/>
        <v>83.333333333333329</v>
      </c>
      <c r="Z33" s="2"/>
      <c r="AA33" s="2"/>
      <c r="AB33" s="2"/>
      <c r="AC33" s="2"/>
    </row>
    <row r="34" spans="1:29" ht="14">
      <c r="A34" s="155" t="s">
        <v>218</v>
      </c>
      <c r="B34" s="150"/>
      <c r="C34" s="87" t="s">
        <v>56</v>
      </c>
      <c r="D34" s="87" t="s">
        <v>61</v>
      </c>
      <c r="E34" s="87" t="s">
        <v>62</v>
      </c>
      <c r="F34" s="87" t="s">
        <v>65</v>
      </c>
      <c r="G34" s="87" t="s">
        <v>68</v>
      </c>
      <c r="H34" s="87" t="s">
        <v>70</v>
      </c>
      <c r="I34" s="87" t="s">
        <v>71</v>
      </c>
      <c r="J34" s="87" t="s">
        <v>72</v>
      </c>
      <c r="K34" s="87" t="s">
        <v>73</v>
      </c>
      <c r="L34" s="87" t="s">
        <v>74</v>
      </c>
      <c r="M34" s="87" t="s">
        <v>75</v>
      </c>
      <c r="N34" s="87" t="s">
        <v>76</v>
      </c>
      <c r="O34" s="29"/>
      <c r="P34" s="31">
        <v>34</v>
      </c>
      <c r="Q34" s="48" t="s">
        <v>219</v>
      </c>
      <c r="R34" s="33" t="s">
        <v>96</v>
      </c>
      <c r="S34" s="48" t="s">
        <v>143</v>
      </c>
      <c r="T34" s="48">
        <v>2000</v>
      </c>
      <c r="U34" s="48">
        <v>10</v>
      </c>
      <c r="V34" s="48">
        <v>2000</v>
      </c>
      <c r="W34" s="31">
        <v>24</v>
      </c>
      <c r="X34" s="62"/>
      <c r="Y34" s="36">
        <f t="shared" si="0"/>
        <v>83.333333333333329</v>
      </c>
      <c r="Z34" s="2"/>
      <c r="AA34" s="2"/>
      <c r="AB34" s="2"/>
      <c r="AC34" s="2"/>
    </row>
    <row r="35" spans="1:29" ht="14">
      <c r="A35" s="88" t="s">
        <v>220</v>
      </c>
      <c r="B35" s="89" t="s">
        <v>221</v>
      </c>
      <c r="C35" s="90">
        <v>220</v>
      </c>
      <c r="D35" s="90">
        <v>220</v>
      </c>
      <c r="E35" s="90">
        <v>221</v>
      </c>
      <c r="F35" s="90">
        <v>221</v>
      </c>
      <c r="G35" s="90">
        <v>222</v>
      </c>
      <c r="H35" s="90">
        <v>222</v>
      </c>
      <c r="I35" s="90">
        <v>223</v>
      </c>
      <c r="J35" s="90">
        <v>223</v>
      </c>
      <c r="K35" s="90">
        <v>224</v>
      </c>
      <c r="L35" s="90">
        <v>225</v>
      </c>
      <c r="M35" s="90">
        <v>225</v>
      </c>
      <c r="N35" s="90">
        <v>226</v>
      </c>
      <c r="O35" s="37"/>
      <c r="P35" s="38">
        <v>36</v>
      </c>
      <c r="Q35" s="48" t="s">
        <v>222</v>
      </c>
      <c r="R35" s="33" t="s">
        <v>96</v>
      </c>
      <c r="S35" s="48" t="s">
        <v>91</v>
      </c>
      <c r="T35" s="48">
        <v>700</v>
      </c>
      <c r="U35" s="48">
        <v>2</v>
      </c>
      <c r="V35" s="48">
        <v>1400</v>
      </c>
      <c r="W35" s="31">
        <v>24</v>
      </c>
      <c r="X35" s="62"/>
      <c r="Y35" s="36">
        <f t="shared" si="0"/>
        <v>58.333333333333336</v>
      </c>
      <c r="Z35" s="2"/>
      <c r="AA35" s="2"/>
      <c r="AB35" s="2"/>
      <c r="AC35" s="2"/>
    </row>
    <row r="36" spans="1:29" ht="14">
      <c r="A36" s="88"/>
      <c r="B36" s="89" t="s">
        <v>223</v>
      </c>
      <c r="C36" s="92">
        <v>80</v>
      </c>
      <c r="D36" s="92">
        <v>80</v>
      </c>
      <c r="E36" s="92">
        <v>80</v>
      </c>
      <c r="F36" s="92">
        <v>80</v>
      </c>
      <c r="G36" s="92">
        <v>80</v>
      </c>
      <c r="H36" s="92">
        <v>80</v>
      </c>
      <c r="I36" s="92">
        <v>80</v>
      </c>
      <c r="J36" s="92">
        <v>80</v>
      </c>
      <c r="K36" s="92">
        <v>80</v>
      </c>
      <c r="L36" s="92">
        <v>80</v>
      </c>
      <c r="M36" s="92">
        <v>80</v>
      </c>
      <c r="N36" s="92">
        <v>80</v>
      </c>
      <c r="O36" s="29"/>
      <c r="P36" s="31">
        <v>37</v>
      </c>
      <c r="Q36" s="48" t="s">
        <v>225</v>
      </c>
      <c r="R36" s="33" t="s">
        <v>96</v>
      </c>
      <c r="S36" s="48" t="s">
        <v>91</v>
      </c>
      <c r="T36" s="48">
        <v>12000</v>
      </c>
      <c r="U36" s="48">
        <v>2</v>
      </c>
      <c r="V36" s="48">
        <v>24000</v>
      </c>
      <c r="W36" s="31">
        <v>24</v>
      </c>
      <c r="X36" s="62"/>
      <c r="Y36" s="36">
        <f t="shared" si="0"/>
        <v>1000</v>
      </c>
      <c r="Z36" s="2"/>
      <c r="AA36" s="2"/>
      <c r="AB36" s="2"/>
      <c r="AC36" s="2"/>
    </row>
    <row r="37" spans="1:29" ht="14">
      <c r="A37" s="88"/>
      <c r="B37" s="95" t="s">
        <v>228</v>
      </c>
      <c r="C37" s="97">
        <f t="shared" ref="C37:N37" si="5">C35 *C36</f>
        <v>17600</v>
      </c>
      <c r="D37" s="97">
        <f t="shared" si="5"/>
        <v>17600</v>
      </c>
      <c r="E37" s="97">
        <f t="shared" si="5"/>
        <v>17680</v>
      </c>
      <c r="F37" s="97">
        <f t="shared" si="5"/>
        <v>17680</v>
      </c>
      <c r="G37" s="97">
        <f t="shared" si="5"/>
        <v>17760</v>
      </c>
      <c r="H37" s="97">
        <f t="shared" si="5"/>
        <v>17760</v>
      </c>
      <c r="I37" s="97">
        <f t="shared" si="5"/>
        <v>17840</v>
      </c>
      <c r="J37" s="97">
        <f t="shared" si="5"/>
        <v>17840</v>
      </c>
      <c r="K37" s="97">
        <f t="shared" si="5"/>
        <v>17920</v>
      </c>
      <c r="L37" s="97">
        <f t="shared" si="5"/>
        <v>18000</v>
      </c>
      <c r="M37" s="97">
        <f t="shared" si="5"/>
        <v>18000</v>
      </c>
      <c r="N37" s="97">
        <f t="shared" si="5"/>
        <v>18080</v>
      </c>
      <c r="O37" s="37"/>
      <c r="P37" s="38">
        <v>38</v>
      </c>
      <c r="Q37" s="48" t="s">
        <v>234</v>
      </c>
      <c r="R37" s="33" t="s">
        <v>96</v>
      </c>
      <c r="S37" s="48" t="s">
        <v>91</v>
      </c>
      <c r="T37" s="48">
        <v>1200</v>
      </c>
      <c r="U37" s="48">
        <v>2</v>
      </c>
      <c r="V37" s="48">
        <v>2400</v>
      </c>
      <c r="W37" s="31">
        <v>24</v>
      </c>
      <c r="X37" s="62"/>
      <c r="Y37" s="36">
        <f t="shared" si="0"/>
        <v>100</v>
      </c>
      <c r="Z37" s="2"/>
      <c r="AA37" s="2"/>
      <c r="AB37" s="2"/>
      <c r="AC37" s="2"/>
    </row>
    <row r="38" spans="1:29" ht="14">
      <c r="A38" s="102" t="s">
        <v>235</v>
      </c>
      <c r="B38" s="89" t="s">
        <v>221</v>
      </c>
      <c r="C38" s="92">
        <v>310</v>
      </c>
      <c r="D38" s="92">
        <v>310</v>
      </c>
      <c r="E38" s="92">
        <v>311</v>
      </c>
      <c r="F38" s="92">
        <v>311</v>
      </c>
      <c r="G38" s="92">
        <v>312</v>
      </c>
      <c r="H38" s="92">
        <v>312</v>
      </c>
      <c r="I38" s="92">
        <v>313</v>
      </c>
      <c r="J38" s="92">
        <v>313</v>
      </c>
      <c r="K38" s="92">
        <v>314</v>
      </c>
      <c r="L38" s="92">
        <v>315</v>
      </c>
      <c r="M38" s="92">
        <v>315</v>
      </c>
      <c r="N38" s="92">
        <v>316</v>
      </c>
      <c r="O38" s="29"/>
      <c r="P38" s="31">
        <v>39</v>
      </c>
      <c r="Q38" s="48" t="s">
        <v>238</v>
      </c>
      <c r="R38" s="33" t="s">
        <v>96</v>
      </c>
      <c r="S38" s="48" t="s">
        <v>91</v>
      </c>
      <c r="T38" s="48">
        <v>500</v>
      </c>
      <c r="U38" s="48">
        <v>2</v>
      </c>
      <c r="V38" s="48">
        <v>1000</v>
      </c>
      <c r="W38" s="31">
        <v>24</v>
      </c>
      <c r="X38" s="62"/>
      <c r="Y38" s="36">
        <f t="shared" si="0"/>
        <v>41.666666666666664</v>
      </c>
      <c r="Z38" s="2"/>
      <c r="AA38" s="2"/>
      <c r="AB38" s="2"/>
      <c r="AC38" s="2"/>
    </row>
    <row r="39" spans="1:29" ht="14">
      <c r="A39" s="102"/>
      <c r="B39" s="105" t="s">
        <v>241</v>
      </c>
      <c r="C39" s="92">
        <v>45</v>
      </c>
      <c r="D39" s="92">
        <v>45</v>
      </c>
      <c r="E39" s="92">
        <v>45</v>
      </c>
      <c r="F39" s="92">
        <v>45</v>
      </c>
      <c r="G39" s="92">
        <v>45</v>
      </c>
      <c r="H39" s="92">
        <v>45</v>
      </c>
      <c r="I39" s="92">
        <v>45</v>
      </c>
      <c r="J39" s="92">
        <v>45</v>
      </c>
      <c r="K39" s="92">
        <v>45</v>
      </c>
      <c r="L39" s="92">
        <v>45</v>
      </c>
      <c r="M39" s="92">
        <v>45</v>
      </c>
      <c r="N39" s="92">
        <v>45</v>
      </c>
      <c r="O39" s="37"/>
      <c r="P39" s="38">
        <v>40</v>
      </c>
      <c r="Q39" s="48" t="s">
        <v>243</v>
      </c>
      <c r="R39" s="33" t="s">
        <v>96</v>
      </c>
      <c r="S39" s="48" t="s">
        <v>91</v>
      </c>
      <c r="T39" s="48">
        <v>400</v>
      </c>
      <c r="U39" s="48">
        <v>3</v>
      </c>
      <c r="V39" s="48">
        <v>1200</v>
      </c>
      <c r="W39" s="31">
        <v>24</v>
      </c>
      <c r="X39" s="62"/>
      <c r="Y39" s="36">
        <f t="shared" si="0"/>
        <v>50</v>
      </c>
      <c r="Z39" s="2"/>
      <c r="AA39" s="2"/>
      <c r="AB39" s="2"/>
      <c r="AC39" s="2"/>
    </row>
    <row r="40" spans="1:29" ht="14">
      <c r="A40" s="102"/>
      <c r="B40" s="95" t="s">
        <v>228</v>
      </c>
      <c r="C40" s="97">
        <f t="shared" ref="C40:N40" si="6">C38*C39</f>
        <v>13950</v>
      </c>
      <c r="D40" s="97">
        <f t="shared" si="6"/>
        <v>13950</v>
      </c>
      <c r="E40" s="97">
        <f t="shared" si="6"/>
        <v>13995</v>
      </c>
      <c r="F40" s="97">
        <f t="shared" si="6"/>
        <v>13995</v>
      </c>
      <c r="G40" s="97">
        <f t="shared" si="6"/>
        <v>14040</v>
      </c>
      <c r="H40" s="97">
        <f t="shared" si="6"/>
        <v>14040</v>
      </c>
      <c r="I40" s="97">
        <f t="shared" si="6"/>
        <v>14085</v>
      </c>
      <c r="J40" s="97">
        <f t="shared" si="6"/>
        <v>14085</v>
      </c>
      <c r="K40" s="97">
        <f t="shared" si="6"/>
        <v>14130</v>
      </c>
      <c r="L40" s="97">
        <f t="shared" si="6"/>
        <v>14175</v>
      </c>
      <c r="M40" s="97">
        <f t="shared" si="6"/>
        <v>14175</v>
      </c>
      <c r="N40" s="97">
        <f t="shared" si="6"/>
        <v>14220</v>
      </c>
      <c r="O40" s="29"/>
      <c r="P40" s="31">
        <v>41</v>
      </c>
      <c r="Q40" s="48" t="s">
        <v>244</v>
      </c>
      <c r="R40" s="33" t="s">
        <v>96</v>
      </c>
      <c r="S40" s="48" t="s">
        <v>91</v>
      </c>
      <c r="T40" s="48">
        <v>6000</v>
      </c>
      <c r="U40" s="48">
        <v>1</v>
      </c>
      <c r="V40" s="48">
        <v>6000</v>
      </c>
      <c r="W40" s="31">
        <v>24</v>
      </c>
      <c r="X40" s="62"/>
      <c r="Y40" s="36">
        <f t="shared" si="0"/>
        <v>250</v>
      </c>
      <c r="Z40" s="2"/>
      <c r="AA40" s="2"/>
      <c r="AB40" s="2"/>
      <c r="AC40" s="2"/>
    </row>
    <row r="41" spans="1:29" ht="14">
      <c r="A41" s="102" t="s">
        <v>246</v>
      </c>
      <c r="B41" s="89" t="s">
        <v>221</v>
      </c>
      <c r="C41" s="92">
        <v>28</v>
      </c>
      <c r="D41" s="92">
        <v>28</v>
      </c>
      <c r="E41" s="92">
        <v>28</v>
      </c>
      <c r="F41" s="92">
        <v>29</v>
      </c>
      <c r="G41" s="92">
        <v>30</v>
      </c>
      <c r="H41" s="92">
        <v>30</v>
      </c>
      <c r="I41" s="112">
        <v>45805</v>
      </c>
      <c r="J41" s="112">
        <v>45805</v>
      </c>
      <c r="K41" s="112">
        <v>45805</v>
      </c>
      <c r="L41" s="92">
        <v>28</v>
      </c>
      <c r="M41" s="92">
        <v>28</v>
      </c>
      <c r="N41" s="92">
        <v>28</v>
      </c>
      <c r="O41" s="37"/>
      <c r="P41" s="38">
        <v>42</v>
      </c>
      <c r="Q41" s="48" t="s">
        <v>250</v>
      </c>
      <c r="R41" s="33" t="s">
        <v>96</v>
      </c>
      <c r="S41" s="48" t="s">
        <v>143</v>
      </c>
      <c r="T41" s="48">
        <v>15000</v>
      </c>
      <c r="U41" s="48">
        <v>1</v>
      </c>
      <c r="V41" s="48">
        <v>15000</v>
      </c>
      <c r="W41" s="31">
        <v>24</v>
      </c>
      <c r="X41" s="62"/>
      <c r="Y41" s="36">
        <f t="shared" si="0"/>
        <v>625</v>
      </c>
      <c r="Z41" s="2"/>
      <c r="AA41" s="2"/>
      <c r="AB41" s="2"/>
      <c r="AC41" s="2"/>
    </row>
    <row r="42" spans="1:29" ht="14">
      <c r="A42" s="102"/>
      <c r="B42" s="118" t="s">
        <v>252</v>
      </c>
      <c r="C42" s="120">
        <v>100</v>
      </c>
      <c r="D42" s="120">
        <v>100</v>
      </c>
      <c r="E42" s="120">
        <v>100</v>
      </c>
      <c r="F42" s="120">
        <v>100</v>
      </c>
      <c r="G42" s="120">
        <v>100</v>
      </c>
      <c r="H42" s="120">
        <v>100</v>
      </c>
      <c r="I42" s="120">
        <v>100</v>
      </c>
      <c r="J42" s="120">
        <v>100</v>
      </c>
      <c r="K42" s="120">
        <v>100</v>
      </c>
      <c r="L42" s="120">
        <v>100</v>
      </c>
      <c r="M42" s="120">
        <v>100</v>
      </c>
      <c r="N42" s="120">
        <v>100</v>
      </c>
      <c r="O42" s="29"/>
      <c r="P42" s="31">
        <v>43</v>
      </c>
      <c r="Q42" s="48" t="s">
        <v>254</v>
      </c>
      <c r="R42" s="33" t="s">
        <v>96</v>
      </c>
      <c r="S42" s="48" t="s">
        <v>91</v>
      </c>
      <c r="T42" s="48">
        <v>3000</v>
      </c>
      <c r="U42" s="48">
        <v>1</v>
      </c>
      <c r="V42" s="48">
        <v>3000</v>
      </c>
      <c r="W42" s="31">
        <v>24</v>
      </c>
      <c r="X42" s="62"/>
      <c r="Y42" s="36">
        <f t="shared" si="0"/>
        <v>125</v>
      </c>
      <c r="Z42" s="2"/>
      <c r="AA42" s="2"/>
      <c r="AB42" s="2"/>
      <c r="AC42" s="2"/>
    </row>
    <row r="43" spans="1:29" ht="14">
      <c r="A43" s="102"/>
      <c r="B43" s="95" t="s">
        <v>228</v>
      </c>
      <c r="C43" s="97">
        <f t="shared" ref="C43:H43" si="7">C41*C42</f>
        <v>2800</v>
      </c>
      <c r="D43" s="97">
        <f t="shared" si="7"/>
        <v>2800</v>
      </c>
      <c r="E43" s="97">
        <f t="shared" si="7"/>
        <v>2800</v>
      </c>
      <c r="F43" s="97">
        <f t="shared" si="7"/>
        <v>2900</v>
      </c>
      <c r="G43" s="97">
        <f t="shared" si="7"/>
        <v>3000</v>
      </c>
      <c r="H43" s="97">
        <f t="shared" si="7"/>
        <v>3000</v>
      </c>
      <c r="I43" s="97">
        <v>2850</v>
      </c>
      <c r="J43" s="97">
        <v>2850</v>
      </c>
      <c r="K43" s="97">
        <v>2850</v>
      </c>
      <c r="L43" s="97">
        <f t="shared" ref="L43:N43" si="8">L41*L42</f>
        <v>2800</v>
      </c>
      <c r="M43" s="97">
        <f t="shared" si="8"/>
        <v>2800</v>
      </c>
      <c r="N43" s="97">
        <f t="shared" si="8"/>
        <v>2800</v>
      </c>
      <c r="O43" s="37"/>
      <c r="P43" s="38">
        <v>44</v>
      </c>
      <c r="Q43" s="48" t="s">
        <v>258</v>
      </c>
      <c r="R43" s="33" t="s">
        <v>96</v>
      </c>
      <c r="S43" s="48" t="s">
        <v>91</v>
      </c>
      <c r="T43" s="48">
        <v>1500</v>
      </c>
      <c r="U43" s="48">
        <v>1</v>
      </c>
      <c r="V43" s="48">
        <v>1500</v>
      </c>
      <c r="W43" s="31">
        <v>24</v>
      </c>
      <c r="X43" s="62"/>
      <c r="Y43" s="36">
        <f t="shared" si="0"/>
        <v>62.5</v>
      </c>
      <c r="Z43" s="2"/>
      <c r="AA43" s="2"/>
      <c r="AB43" s="2"/>
      <c r="AC43" s="2"/>
    </row>
    <row r="44" spans="1:29" ht="14">
      <c r="A44" s="102" t="s">
        <v>259</v>
      </c>
      <c r="B44" s="89" t="s">
        <v>221</v>
      </c>
      <c r="C44" s="92">
        <v>10</v>
      </c>
      <c r="D44" s="92">
        <v>10</v>
      </c>
      <c r="E44" s="92">
        <v>10</v>
      </c>
      <c r="F44" s="112">
        <v>45698</v>
      </c>
      <c r="G44" s="112">
        <v>45787</v>
      </c>
      <c r="H44" s="112">
        <v>45787</v>
      </c>
      <c r="I44" s="112">
        <v>45698</v>
      </c>
      <c r="J44" s="112">
        <v>45698</v>
      </c>
      <c r="K44" s="112">
        <v>45726</v>
      </c>
      <c r="L44" s="112">
        <v>45726</v>
      </c>
      <c r="M44" s="112">
        <v>45757</v>
      </c>
      <c r="N44" s="112">
        <v>45757</v>
      </c>
      <c r="O44" s="29"/>
      <c r="P44" s="31">
        <v>45</v>
      </c>
      <c r="Q44" s="48" t="s">
        <v>261</v>
      </c>
      <c r="R44" s="33" t="s">
        <v>96</v>
      </c>
      <c r="S44" s="48" t="s">
        <v>91</v>
      </c>
      <c r="T44" s="48">
        <v>2000</v>
      </c>
      <c r="U44" s="48">
        <v>1</v>
      </c>
      <c r="V44" s="48">
        <v>2000</v>
      </c>
      <c r="W44" s="31">
        <v>24</v>
      </c>
      <c r="X44" s="62"/>
      <c r="Y44" s="36">
        <f t="shared" si="0"/>
        <v>83.333333333333329</v>
      </c>
      <c r="Z44" s="2"/>
      <c r="AA44" s="2"/>
      <c r="AB44" s="2"/>
      <c r="AC44" s="2"/>
    </row>
    <row r="45" spans="1:29" ht="28">
      <c r="A45" s="102"/>
      <c r="B45" s="128" t="s">
        <v>264</v>
      </c>
      <c r="C45" s="120">
        <v>300</v>
      </c>
      <c r="D45" s="120">
        <v>300</v>
      </c>
      <c r="E45" s="120">
        <v>300</v>
      </c>
      <c r="F45" s="120">
        <v>300</v>
      </c>
      <c r="G45" s="120">
        <v>300</v>
      </c>
      <c r="H45" s="120">
        <v>300</v>
      </c>
      <c r="I45" s="120">
        <v>300</v>
      </c>
      <c r="J45" s="120">
        <v>300</v>
      </c>
      <c r="K45" s="120">
        <v>300</v>
      </c>
      <c r="L45" s="120">
        <v>300</v>
      </c>
      <c r="M45" s="120">
        <v>300</v>
      </c>
      <c r="N45" s="120">
        <v>300</v>
      </c>
      <c r="O45" s="37"/>
      <c r="P45" s="38">
        <v>46</v>
      </c>
      <c r="Q45" s="48" t="s">
        <v>265</v>
      </c>
      <c r="R45" s="33" t="s">
        <v>96</v>
      </c>
      <c r="S45" s="48" t="s">
        <v>91</v>
      </c>
      <c r="T45" s="48">
        <v>2000</v>
      </c>
      <c r="U45" s="48">
        <v>3</v>
      </c>
      <c r="V45" s="48">
        <v>6000</v>
      </c>
      <c r="W45" s="31">
        <v>24</v>
      </c>
      <c r="X45" s="62"/>
      <c r="Y45" s="36">
        <f t="shared" si="0"/>
        <v>250</v>
      </c>
      <c r="Z45" s="2"/>
      <c r="AA45" s="2"/>
      <c r="AB45" s="2"/>
      <c r="AC45" s="2"/>
    </row>
    <row r="46" spans="1:29" ht="14">
      <c r="A46" s="102"/>
      <c r="B46" s="95" t="s">
        <v>228</v>
      </c>
      <c r="C46" s="97">
        <f t="shared" ref="C46:E46" si="9">C44*C45</f>
        <v>3000</v>
      </c>
      <c r="D46" s="97">
        <f t="shared" si="9"/>
        <v>3000</v>
      </c>
      <c r="E46" s="97">
        <f t="shared" si="9"/>
        <v>3000</v>
      </c>
      <c r="F46" s="97">
        <v>3060</v>
      </c>
      <c r="G46" s="97">
        <v>3150</v>
      </c>
      <c r="H46" s="97">
        <v>3150</v>
      </c>
      <c r="I46" s="97">
        <v>3060</v>
      </c>
      <c r="J46" s="97">
        <v>3060</v>
      </c>
      <c r="K46" s="97">
        <v>3090</v>
      </c>
      <c r="L46" s="97">
        <v>3090</v>
      </c>
      <c r="M46" s="97">
        <v>3120</v>
      </c>
      <c r="N46" s="97">
        <v>3120</v>
      </c>
      <c r="O46" s="29"/>
      <c r="P46" s="31">
        <v>47</v>
      </c>
      <c r="Q46" s="48" t="s">
        <v>267</v>
      </c>
      <c r="R46" s="33" t="s">
        <v>96</v>
      </c>
      <c r="S46" s="48" t="s">
        <v>143</v>
      </c>
      <c r="T46" s="48">
        <v>2000</v>
      </c>
      <c r="U46" s="48">
        <v>1</v>
      </c>
      <c r="V46" s="48">
        <v>2000</v>
      </c>
      <c r="W46" s="31">
        <v>24</v>
      </c>
      <c r="X46" s="62"/>
      <c r="Y46" s="36">
        <f t="shared" si="0"/>
        <v>83.333333333333329</v>
      </c>
      <c r="Z46" s="2"/>
      <c r="AA46" s="2"/>
      <c r="AB46" s="2"/>
      <c r="AC46" s="2"/>
    </row>
    <row r="47" spans="1:29" ht="14">
      <c r="A47" s="102" t="s">
        <v>268</v>
      </c>
      <c r="B47" s="89" t="s">
        <v>221</v>
      </c>
      <c r="C47" s="92">
        <v>32</v>
      </c>
      <c r="D47" s="92">
        <v>32</v>
      </c>
      <c r="E47" s="92" t="s">
        <v>270</v>
      </c>
      <c r="F47" s="92">
        <v>33</v>
      </c>
      <c r="G47" s="92">
        <v>33</v>
      </c>
      <c r="H47" s="92" t="s">
        <v>270</v>
      </c>
      <c r="I47" s="92">
        <v>32</v>
      </c>
      <c r="J47" s="92">
        <v>32</v>
      </c>
      <c r="K47" s="92">
        <v>32</v>
      </c>
      <c r="L47" s="92">
        <v>32</v>
      </c>
      <c r="M47" s="92">
        <v>32</v>
      </c>
      <c r="N47" s="92">
        <v>32</v>
      </c>
      <c r="O47" s="37"/>
      <c r="P47" s="38">
        <v>48</v>
      </c>
      <c r="Q47" s="48" t="s">
        <v>271</v>
      </c>
      <c r="R47" s="33" t="s">
        <v>96</v>
      </c>
      <c r="S47" s="48" t="s">
        <v>91</v>
      </c>
      <c r="T47" s="48">
        <v>30</v>
      </c>
      <c r="U47" s="48">
        <v>3</v>
      </c>
      <c r="V47" s="48">
        <v>90</v>
      </c>
      <c r="W47" s="31">
        <v>24</v>
      </c>
      <c r="X47" s="62"/>
      <c r="Y47" s="36">
        <f t="shared" si="0"/>
        <v>3.75</v>
      </c>
      <c r="Z47" s="2"/>
      <c r="AA47" s="2"/>
      <c r="AB47" s="2"/>
      <c r="AC47" s="2"/>
    </row>
    <row r="48" spans="1:29" ht="28">
      <c r="A48" s="102"/>
      <c r="B48" s="128" t="s">
        <v>252</v>
      </c>
      <c r="C48" s="120">
        <v>40</v>
      </c>
      <c r="D48" s="120">
        <v>40</v>
      </c>
      <c r="E48" s="120">
        <v>40</v>
      </c>
      <c r="F48" s="120">
        <v>40</v>
      </c>
      <c r="G48" s="120">
        <v>40</v>
      </c>
      <c r="H48" s="120">
        <v>40</v>
      </c>
      <c r="I48" s="120">
        <v>40</v>
      </c>
      <c r="J48" s="120">
        <v>40</v>
      </c>
      <c r="K48" s="120">
        <v>40</v>
      </c>
      <c r="L48" s="120">
        <v>40</v>
      </c>
      <c r="M48" s="120">
        <v>40</v>
      </c>
      <c r="N48" s="120">
        <v>40</v>
      </c>
      <c r="O48" s="29"/>
      <c r="P48" s="31">
        <v>49</v>
      </c>
      <c r="Q48" s="48" t="s">
        <v>272</v>
      </c>
      <c r="R48" s="33" t="s">
        <v>96</v>
      </c>
      <c r="S48" s="48" t="s">
        <v>91</v>
      </c>
      <c r="T48" s="48">
        <v>20</v>
      </c>
      <c r="U48" s="48">
        <v>3</v>
      </c>
      <c r="V48" s="48">
        <v>60</v>
      </c>
      <c r="W48" s="31">
        <v>24</v>
      </c>
      <c r="X48" s="62"/>
      <c r="Y48" s="36">
        <f t="shared" si="0"/>
        <v>2.5</v>
      </c>
      <c r="Z48" s="2"/>
      <c r="AA48" s="2"/>
      <c r="AB48" s="2"/>
      <c r="AC48" s="2"/>
    </row>
    <row r="49" spans="1:29" ht="14">
      <c r="A49" s="102"/>
      <c r="B49" s="95" t="s">
        <v>228</v>
      </c>
      <c r="C49" s="97">
        <f t="shared" ref="C49:D49" si="10">C47*C48</f>
        <v>1280</v>
      </c>
      <c r="D49" s="97">
        <f t="shared" si="10"/>
        <v>1280</v>
      </c>
      <c r="E49" s="97">
        <v>1300</v>
      </c>
      <c r="F49" s="97">
        <f t="shared" ref="F49:G49" si="11">F47*F48</f>
        <v>1320</v>
      </c>
      <c r="G49" s="97">
        <f t="shared" si="11"/>
        <v>1320</v>
      </c>
      <c r="H49" s="97">
        <v>1300</v>
      </c>
      <c r="I49" s="97">
        <f t="shared" ref="I49:N49" si="12">I47*I48</f>
        <v>1280</v>
      </c>
      <c r="J49" s="97">
        <f t="shared" si="12"/>
        <v>1280</v>
      </c>
      <c r="K49" s="97">
        <f t="shared" si="12"/>
        <v>1280</v>
      </c>
      <c r="L49" s="97">
        <f t="shared" si="12"/>
        <v>1280</v>
      </c>
      <c r="M49" s="97">
        <f t="shared" si="12"/>
        <v>1280</v>
      </c>
      <c r="N49" s="97">
        <f t="shared" si="12"/>
        <v>1280</v>
      </c>
      <c r="O49" s="37"/>
      <c r="P49" s="38">
        <v>50</v>
      </c>
      <c r="Q49" s="48" t="s">
        <v>273</v>
      </c>
      <c r="R49" s="48" t="s">
        <v>96</v>
      </c>
      <c r="S49" s="48" t="s">
        <v>91</v>
      </c>
      <c r="T49" s="48">
        <v>50</v>
      </c>
      <c r="U49" s="48">
        <v>2</v>
      </c>
      <c r="V49" s="48">
        <v>100</v>
      </c>
      <c r="W49" s="31">
        <v>24</v>
      </c>
      <c r="X49" s="62"/>
      <c r="Y49" s="36">
        <f t="shared" si="0"/>
        <v>4.166666666666667</v>
      </c>
      <c r="Z49" s="2"/>
      <c r="AA49" s="2"/>
      <c r="AB49" s="2"/>
      <c r="AC49" s="2"/>
    </row>
    <row r="50" spans="1:29" ht="14">
      <c r="A50" s="102" t="s">
        <v>274</v>
      </c>
      <c r="B50" s="89" t="s">
        <v>221</v>
      </c>
      <c r="C50" s="92">
        <v>26</v>
      </c>
      <c r="D50" s="112">
        <v>45803</v>
      </c>
      <c r="E50" s="92">
        <v>27</v>
      </c>
      <c r="F50" s="112">
        <v>45804</v>
      </c>
      <c r="G50" s="112">
        <v>45804</v>
      </c>
      <c r="H50" s="92">
        <v>27</v>
      </c>
      <c r="I50" s="92">
        <v>27</v>
      </c>
      <c r="J50" s="112">
        <v>45803</v>
      </c>
      <c r="K50" s="112">
        <v>45803</v>
      </c>
      <c r="L50" s="92">
        <v>27</v>
      </c>
      <c r="M50" s="92">
        <v>27</v>
      </c>
      <c r="N50" s="92">
        <v>27</v>
      </c>
      <c r="O50" s="29"/>
      <c r="P50" s="31">
        <v>51</v>
      </c>
      <c r="Q50" s="48" t="s">
        <v>275</v>
      </c>
      <c r="R50" s="48" t="s">
        <v>96</v>
      </c>
      <c r="S50" s="48" t="s">
        <v>91</v>
      </c>
      <c r="T50" s="48">
        <v>40</v>
      </c>
      <c r="U50" s="48">
        <v>2</v>
      </c>
      <c r="V50" s="48">
        <v>80</v>
      </c>
      <c r="W50" s="31">
        <v>24</v>
      </c>
      <c r="X50" s="62"/>
      <c r="Y50" s="36">
        <f t="shared" si="0"/>
        <v>3.3333333333333335</v>
      </c>
      <c r="Z50" s="2"/>
      <c r="AA50" s="2"/>
      <c r="AB50" s="2"/>
      <c r="AC50" s="2"/>
    </row>
    <row r="51" spans="1:29" ht="14">
      <c r="A51" s="102"/>
      <c r="B51" s="105" t="s">
        <v>276</v>
      </c>
      <c r="C51" s="120">
        <v>60</v>
      </c>
      <c r="D51" s="120">
        <v>60</v>
      </c>
      <c r="E51" s="120">
        <v>60</v>
      </c>
      <c r="F51" s="120">
        <v>60</v>
      </c>
      <c r="G51" s="120">
        <v>60</v>
      </c>
      <c r="H51" s="120">
        <v>60</v>
      </c>
      <c r="I51" s="120">
        <v>60</v>
      </c>
      <c r="J51" s="120">
        <v>60</v>
      </c>
      <c r="K51" s="120">
        <v>60</v>
      </c>
      <c r="L51" s="120">
        <v>60</v>
      </c>
      <c r="M51" s="120">
        <v>60</v>
      </c>
      <c r="N51" s="120">
        <v>60</v>
      </c>
      <c r="O51" s="29"/>
      <c r="P51" s="31">
        <v>52</v>
      </c>
      <c r="Q51" s="48" t="s">
        <v>277</v>
      </c>
      <c r="R51" s="48" t="s">
        <v>96</v>
      </c>
      <c r="S51" s="48" t="s">
        <v>91</v>
      </c>
      <c r="T51" s="48">
        <v>35</v>
      </c>
      <c r="U51" s="48">
        <v>1</v>
      </c>
      <c r="V51" s="48">
        <v>35</v>
      </c>
      <c r="W51" s="48">
        <v>24</v>
      </c>
      <c r="X51" s="62"/>
      <c r="Y51" s="36">
        <f t="shared" si="0"/>
        <v>1.4583333333333333</v>
      </c>
      <c r="Z51" s="2"/>
      <c r="AA51" s="2"/>
      <c r="AB51" s="2"/>
      <c r="AC51" s="2"/>
    </row>
    <row r="52" spans="1:29" ht="14">
      <c r="A52" s="102"/>
      <c r="B52" s="95" t="s">
        <v>228</v>
      </c>
      <c r="C52" s="97">
        <f>C50*C51</f>
        <v>1560</v>
      </c>
      <c r="D52" s="97">
        <v>1590</v>
      </c>
      <c r="E52" s="97">
        <f>E50*E51</f>
        <v>1620</v>
      </c>
      <c r="F52" s="97">
        <v>1650</v>
      </c>
      <c r="G52" s="97">
        <v>1650</v>
      </c>
      <c r="H52" s="97">
        <f t="shared" ref="H52:I52" si="13">H50*H51</f>
        <v>1620</v>
      </c>
      <c r="I52" s="97">
        <f t="shared" si="13"/>
        <v>1620</v>
      </c>
      <c r="J52" s="97">
        <v>1590</v>
      </c>
      <c r="K52" s="97">
        <v>1590</v>
      </c>
      <c r="L52" s="97">
        <f t="shared" ref="L52:N52" si="14">L50*L51</f>
        <v>1620</v>
      </c>
      <c r="M52" s="97">
        <f t="shared" si="14"/>
        <v>1620</v>
      </c>
      <c r="N52" s="97">
        <f t="shared" si="14"/>
        <v>1620</v>
      </c>
      <c r="O52" s="37"/>
      <c r="P52" s="38">
        <v>53</v>
      </c>
      <c r="Q52" s="48" t="s">
        <v>278</v>
      </c>
      <c r="R52" s="48" t="s">
        <v>96</v>
      </c>
      <c r="S52" s="48" t="s">
        <v>91</v>
      </c>
      <c r="T52" s="48">
        <v>1200</v>
      </c>
      <c r="U52" s="48">
        <v>1</v>
      </c>
      <c r="V52" s="48">
        <v>1200</v>
      </c>
      <c r="W52" s="48">
        <v>24</v>
      </c>
      <c r="X52" s="62"/>
      <c r="Y52" s="36">
        <f t="shared" si="0"/>
        <v>50</v>
      </c>
      <c r="Z52" s="2"/>
      <c r="AA52" s="2"/>
      <c r="AB52" s="2"/>
      <c r="AC52" s="2"/>
    </row>
    <row r="53" spans="1:29" ht="14">
      <c r="A53" s="102" t="s">
        <v>279</v>
      </c>
      <c r="B53" s="89" t="s">
        <v>221</v>
      </c>
      <c r="C53" s="92">
        <v>120</v>
      </c>
      <c r="D53" s="92">
        <v>120</v>
      </c>
      <c r="E53" s="92">
        <v>120</v>
      </c>
      <c r="F53" s="92">
        <v>120</v>
      </c>
      <c r="G53" s="92">
        <v>120</v>
      </c>
      <c r="H53" s="92">
        <v>120</v>
      </c>
      <c r="I53" s="92">
        <v>121</v>
      </c>
      <c r="J53" s="92">
        <v>121</v>
      </c>
      <c r="K53" s="92">
        <v>121</v>
      </c>
      <c r="L53" s="92">
        <v>122</v>
      </c>
      <c r="M53" s="92">
        <v>122</v>
      </c>
      <c r="N53" s="92">
        <v>122</v>
      </c>
      <c r="O53" s="29"/>
      <c r="P53" s="31">
        <v>54</v>
      </c>
      <c r="Q53" s="48" t="s">
        <v>280</v>
      </c>
      <c r="R53" s="48" t="s">
        <v>96</v>
      </c>
      <c r="S53" s="48" t="s">
        <v>91</v>
      </c>
      <c r="T53" s="48">
        <v>300</v>
      </c>
      <c r="U53" s="48">
        <v>1</v>
      </c>
      <c r="V53" s="48">
        <v>300</v>
      </c>
      <c r="W53" s="48">
        <v>24</v>
      </c>
      <c r="X53" s="62"/>
      <c r="Y53" s="36">
        <f t="shared" si="0"/>
        <v>12.5</v>
      </c>
      <c r="Z53" s="2"/>
      <c r="AA53" s="2"/>
      <c r="AB53" s="2"/>
      <c r="AC53" s="2"/>
    </row>
    <row r="54" spans="1:29" ht="14">
      <c r="A54" s="102"/>
      <c r="B54" s="105" t="s">
        <v>281</v>
      </c>
      <c r="C54" s="120">
        <v>25</v>
      </c>
      <c r="D54" s="120">
        <v>25</v>
      </c>
      <c r="E54" s="120">
        <v>25</v>
      </c>
      <c r="F54" s="120">
        <v>25</v>
      </c>
      <c r="G54" s="120">
        <v>25</v>
      </c>
      <c r="H54" s="120">
        <v>25</v>
      </c>
      <c r="I54" s="120">
        <v>25</v>
      </c>
      <c r="J54" s="120">
        <v>25</v>
      </c>
      <c r="K54" s="120">
        <v>25</v>
      </c>
      <c r="L54" s="120">
        <v>25</v>
      </c>
      <c r="M54" s="120">
        <v>25</v>
      </c>
      <c r="N54" s="120">
        <v>25</v>
      </c>
      <c r="O54" s="37"/>
      <c r="P54" s="38">
        <v>55</v>
      </c>
      <c r="Q54" s="48" t="s">
        <v>282</v>
      </c>
      <c r="R54" s="48" t="s">
        <v>96</v>
      </c>
      <c r="S54" s="48" t="s">
        <v>91</v>
      </c>
      <c r="T54" s="48">
        <v>150</v>
      </c>
      <c r="U54" s="48">
        <v>4</v>
      </c>
      <c r="V54" s="48">
        <v>600</v>
      </c>
      <c r="W54" s="48">
        <v>24</v>
      </c>
      <c r="X54" s="62"/>
      <c r="Y54" s="36">
        <f t="shared" si="0"/>
        <v>25</v>
      </c>
      <c r="Z54" s="2"/>
      <c r="AA54" s="2"/>
      <c r="AB54" s="2"/>
      <c r="AC54" s="2"/>
    </row>
    <row r="55" spans="1:29" ht="14">
      <c r="A55" s="102"/>
      <c r="B55" s="95" t="s">
        <v>228</v>
      </c>
      <c r="C55" s="97">
        <f t="shared" ref="C55:N55" si="15">C53*C54</f>
        <v>3000</v>
      </c>
      <c r="D55" s="97">
        <f t="shared" si="15"/>
        <v>3000</v>
      </c>
      <c r="E55" s="97">
        <f t="shared" si="15"/>
        <v>3000</v>
      </c>
      <c r="F55" s="97">
        <f t="shared" si="15"/>
        <v>3000</v>
      </c>
      <c r="G55" s="97">
        <f t="shared" si="15"/>
        <v>3000</v>
      </c>
      <c r="H55" s="97">
        <f t="shared" si="15"/>
        <v>3000</v>
      </c>
      <c r="I55" s="97">
        <f t="shared" si="15"/>
        <v>3025</v>
      </c>
      <c r="J55" s="97">
        <f t="shared" si="15"/>
        <v>3025</v>
      </c>
      <c r="K55" s="97">
        <f t="shared" si="15"/>
        <v>3025</v>
      </c>
      <c r="L55" s="97">
        <f t="shared" si="15"/>
        <v>3050</v>
      </c>
      <c r="M55" s="97">
        <f t="shared" si="15"/>
        <v>3050</v>
      </c>
      <c r="N55" s="97">
        <f t="shared" si="15"/>
        <v>3050</v>
      </c>
      <c r="O55" s="29"/>
      <c r="P55" s="31">
        <v>56</v>
      </c>
      <c r="Q55" s="48" t="s">
        <v>69</v>
      </c>
      <c r="R55" s="62"/>
      <c r="S55" s="62"/>
      <c r="T55" s="62"/>
      <c r="U55" s="62"/>
      <c r="V55" s="55">
        <f>SUM(V6:V54)</f>
        <v>276965</v>
      </c>
      <c r="W55" s="62"/>
      <c r="X55" s="55"/>
      <c r="Y55" s="36">
        <f>SUM(Y5:Y54)</f>
        <v>10081.875000000002</v>
      </c>
      <c r="Z55" s="2"/>
      <c r="AA55" s="2"/>
      <c r="AB55" s="2"/>
      <c r="AC55" s="2"/>
    </row>
    <row r="56" spans="1:29" ht="14">
      <c r="A56" s="102" t="s">
        <v>284</v>
      </c>
      <c r="B56" s="89" t="s">
        <v>221</v>
      </c>
      <c r="C56" s="120">
        <v>160</v>
      </c>
      <c r="D56" s="120">
        <v>160</v>
      </c>
      <c r="E56" s="120">
        <v>160</v>
      </c>
      <c r="F56" s="120">
        <v>160</v>
      </c>
      <c r="G56" s="120">
        <v>160</v>
      </c>
      <c r="H56" s="120">
        <v>160</v>
      </c>
      <c r="I56" s="120">
        <v>160</v>
      </c>
      <c r="J56" s="120">
        <v>160</v>
      </c>
      <c r="K56" s="120">
        <v>160</v>
      </c>
      <c r="L56" s="120">
        <v>160</v>
      </c>
      <c r="M56" s="120">
        <v>160</v>
      </c>
      <c r="N56" s="120">
        <v>160</v>
      </c>
      <c r="O56" s="2"/>
      <c r="P56" s="2"/>
      <c r="Q56" s="2"/>
      <c r="R56" s="2"/>
      <c r="S56" s="2"/>
      <c r="T56" s="2"/>
      <c r="U56" s="2"/>
      <c r="V56" s="2"/>
      <c r="W56" s="2"/>
      <c r="X56" s="2"/>
      <c r="Y56" s="134"/>
      <c r="Z56" s="2"/>
      <c r="AA56" s="2"/>
      <c r="AB56" s="2"/>
      <c r="AC56" s="2"/>
    </row>
    <row r="57" spans="1:29" ht="42">
      <c r="A57" s="102"/>
      <c r="B57" s="135" t="s">
        <v>286</v>
      </c>
      <c r="C57" s="120">
        <v>15</v>
      </c>
      <c r="D57" s="120">
        <v>15</v>
      </c>
      <c r="E57" s="120">
        <v>15</v>
      </c>
      <c r="F57" s="120">
        <v>15</v>
      </c>
      <c r="G57" s="120">
        <v>15</v>
      </c>
      <c r="H57" s="120">
        <v>15</v>
      </c>
      <c r="I57" s="120">
        <v>15</v>
      </c>
      <c r="J57" s="120">
        <v>15</v>
      </c>
      <c r="K57" s="120">
        <v>15</v>
      </c>
      <c r="L57" s="120">
        <v>15</v>
      </c>
      <c r="M57" s="120">
        <v>15</v>
      </c>
      <c r="N57" s="120">
        <v>15</v>
      </c>
      <c r="O57" s="2"/>
      <c r="P57" s="2"/>
      <c r="Q57" s="2"/>
      <c r="R57" s="2"/>
      <c r="S57" s="2"/>
      <c r="T57" s="2"/>
      <c r="U57" s="2"/>
      <c r="V57" s="2"/>
      <c r="W57" s="2"/>
      <c r="X57" s="2"/>
      <c r="Y57" s="134"/>
      <c r="Z57" s="2"/>
      <c r="AA57" s="2"/>
      <c r="AB57" s="2"/>
      <c r="AC57" s="2"/>
    </row>
    <row r="58" spans="1:29" ht="14">
      <c r="A58" s="102"/>
      <c r="B58" s="95" t="s">
        <v>228</v>
      </c>
      <c r="C58" s="97">
        <v>2400</v>
      </c>
      <c r="D58" s="97">
        <v>2400</v>
      </c>
      <c r="E58" s="97">
        <v>2400</v>
      </c>
      <c r="F58" s="97">
        <v>2400</v>
      </c>
      <c r="G58" s="97">
        <v>2400</v>
      </c>
      <c r="H58" s="97">
        <v>2400</v>
      </c>
      <c r="I58" s="97">
        <v>2400</v>
      </c>
      <c r="J58" s="97">
        <v>2400</v>
      </c>
      <c r="K58" s="97">
        <v>2400</v>
      </c>
      <c r="L58" s="97">
        <v>2400</v>
      </c>
      <c r="M58" s="97">
        <v>2400</v>
      </c>
      <c r="N58" s="97">
        <v>2400</v>
      </c>
      <c r="O58" s="2"/>
      <c r="P58" s="2"/>
      <c r="Q58" s="2"/>
      <c r="R58" s="2"/>
      <c r="S58" s="2"/>
      <c r="T58" s="2"/>
      <c r="U58" s="2"/>
      <c r="V58" s="2"/>
      <c r="W58" s="2"/>
      <c r="X58" s="2"/>
      <c r="Y58" s="134"/>
      <c r="Z58" s="2"/>
      <c r="AA58" s="2"/>
      <c r="AB58" s="2"/>
      <c r="AC58" s="2"/>
    </row>
    <row r="59" spans="1:29" ht="14">
      <c r="A59" s="102" t="s">
        <v>292</v>
      </c>
      <c r="B59" s="89" t="s">
        <v>221</v>
      </c>
      <c r="C59" s="92">
        <v>95</v>
      </c>
      <c r="D59" s="92">
        <v>95</v>
      </c>
      <c r="E59" s="92">
        <v>96</v>
      </c>
      <c r="F59" s="92">
        <v>98</v>
      </c>
      <c r="G59" s="92">
        <v>98</v>
      </c>
      <c r="H59" s="92">
        <v>97</v>
      </c>
      <c r="I59" s="92">
        <v>96</v>
      </c>
      <c r="J59" s="92">
        <v>97</v>
      </c>
      <c r="K59" s="92">
        <v>97</v>
      </c>
      <c r="L59" s="92">
        <v>98</v>
      </c>
      <c r="M59" s="92">
        <v>98</v>
      </c>
      <c r="N59" s="92">
        <v>98</v>
      </c>
      <c r="O59" s="2"/>
      <c r="P59" s="2"/>
      <c r="Q59" s="2"/>
      <c r="R59" s="2"/>
      <c r="S59" s="2"/>
      <c r="T59" s="2"/>
      <c r="U59" s="2"/>
      <c r="V59" s="2"/>
      <c r="W59" s="2"/>
      <c r="X59" s="2"/>
      <c r="Y59" s="134"/>
      <c r="Z59" s="2"/>
      <c r="AA59" s="2"/>
      <c r="AB59" s="2"/>
      <c r="AC59" s="2"/>
    </row>
    <row r="60" spans="1:29" ht="42">
      <c r="A60" s="102"/>
      <c r="B60" s="135" t="s">
        <v>295</v>
      </c>
      <c r="C60" s="120">
        <v>20</v>
      </c>
      <c r="D60" s="120">
        <v>20</v>
      </c>
      <c r="E60" s="120">
        <v>20</v>
      </c>
      <c r="F60" s="120">
        <v>20</v>
      </c>
      <c r="G60" s="120">
        <v>20</v>
      </c>
      <c r="H60" s="120">
        <v>20</v>
      </c>
      <c r="I60" s="120">
        <v>20</v>
      </c>
      <c r="J60" s="120">
        <v>20</v>
      </c>
      <c r="K60" s="120">
        <v>20</v>
      </c>
      <c r="L60" s="120">
        <v>20</v>
      </c>
      <c r="M60" s="120">
        <v>20</v>
      </c>
      <c r="N60" s="120">
        <v>20</v>
      </c>
      <c r="O60" s="2"/>
      <c r="P60" s="2"/>
      <c r="Q60" s="2"/>
      <c r="R60" s="2"/>
      <c r="S60" s="2"/>
      <c r="T60" s="2"/>
      <c r="U60" s="2"/>
      <c r="V60" s="2"/>
      <c r="W60" s="2"/>
      <c r="X60" s="2"/>
      <c r="Y60" s="134"/>
      <c r="Z60" s="2"/>
      <c r="AA60" s="2"/>
      <c r="AB60" s="2"/>
      <c r="AC60" s="2"/>
    </row>
    <row r="61" spans="1:29" ht="14">
      <c r="A61" s="102"/>
      <c r="B61" s="95" t="s">
        <v>228</v>
      </c>
      <c r="C61" s="97">
        <f t="shared" ref="C61:N61" si="16">C59*C60</f>
        <v>1900</v>
      </c>
      <c r="D61" s="97">
        <f t="shared" si="16"/>
        <v>1900</v>
      </c>
      <c r="E61" s="97">
        <f t="shared" si="16"/>
        <v>1920</v>
      </c>
      <c r="F61" s="97">
        <f t="shared" si="16"/>
        <v>1960</v>
      </c>
      <c r="G61" s="97">
        <f t="shared" si="16"/>
        <v>1960</v>
      </c>
      <c r="H61" s="97">
        <f t="shared" si="16"/>
        <v>1940</v>
      </c>
      <c r="I61" s="97">
        <f t="shared" si="16"/>
        <v>1920</v>
      </c>
      <c r="J61" s="97">
        <f t="shared" si="16"/>
        <v>1940</v>
      </c>
      <c r="K61" s="97">
        <f t="shared" si="16"/>
        <v>1940</v>
      </c>
      <c r="L61" s="97">
        <f t="shared" si="16"/>
        <v>1960</v>
      </c>
      <c r="M61" s="97">
        <f t="shared" si="16"/>
        <v>1960</v>
      </c>
      <c r="N61" s="97">
        <f t="shared" si="16"/>
        <v>1960</v>
      </c>
      <c r="O61" s="2"/>
      <c r="P61" s="2"/>
      <c r="Q61" s="2"/>
      <c r="R61" s="2"/>
      <c r="S61" s="2"/>
      <c r="T61" s="2"/>
      <c r="U61" s="2"/>
      <c r="V61" s="2"/>
      <c r="W61" s="2"/>
      <c r="X61" s="2"/>
      <c r="Y61" s="134"/>
      <c r="Z61" s="2"/>
      <c r="AA61" s="2"/>
      <c r="AB61" s="2"/>
      <c r="AC61" s="2"/>
    </row>
    <row r="62" spans="1:29" ht="14">
      <c r="A62" s="102" t="s">
        <v>307</v>
      </c>
      <c r="B62" s="89" t="s">
        <v>221</v>
      </c>
      <c r="C62" s="120">
        <v>2</v>
      </c>
      <c r="D62" s="120">
        <v>2</v>
      </c>
      <c r="E62" s="120">
        <v>2</v>
      </c>
      <c r="F62" s="120">
        <v>2</v>
      </c>
      <c r="G62" s="120">
        <v>2</v>
      </c>
      <c r="H62" s="120">
        <v>2</v>
      </c>
      <c r="I62" s="120">
        <v>2</v>
      </c>
      <c r="J62" s="120">
        <v>2</v>
      </c>
      <c r="K62" s="120">
        <v>2</v>
      </c>
      <c r="L62" s="120">
        <v>2</v>
      </c>
      <c r="M62" s="120">
        <v>2</v>
      </c>
      <c r="N62" s="120">
        <v>2</v>
      </c>
      <c r="O62" s="2"/>
      <c r="P62" s="2"/>
      <c r="Q62" s="2"/>
      <c r="R62" s="2"/>
      <c r="S62" s="2"/>
      <c r="T62" s="2"/>
      <c r="U62" s="2"/>
      <c r="V62" s="2"/>
      <c r="W62" s="2"/>
      <c r="X62" s="2"/>
      <c r="Y62" s="134"/>
      <c r="Z62" s="2"/>
      <c r="AA62" s="2"/>
      <c r="AB62" s="2"/>
      <c r="AC62" s="2"/>
    </row>
    <row r="63" spans="1:29" ht="14">
      <c r="A63" s="102"/>
      <c r="B63" s="105" t="s">
        <v>276</v>
      </c>
      <c r="C63" s="120">
        <v>500</v>
      </c>
      <c r="D63" s="120">
        <v>500</v>
      </c>
      <c r="E63" s="120">
        <v>500</v>
      </c>
      <c r="F63" s="120">
        <v>500</v>
      </c>
      <c r="G63" s="120">
        <v>500</v>
      </c>
      <c r="H63" s="120">
        <v>500</v>
      </c>
      <c r="I63" s="120">
        <v>500</v>
      </c>
      <c r="J63" s="120">
        <v>500</v>
      </c>
      <c r="K63" s="120">
        <v>500</v>
      </c>
      <c r="L63" s="120">
        <v>500</v>
      </c>
      <c r="M63" s="120">
        <v>500</v>
      </c>
      <c r="N63" s="120">
        <v>500</v>
      </c>
      <c r="O63" s="2"/>
      <c r="P63" s="2"/>
      <c r="Q63" s="2"/>
      <c r="R63" s="2"/>
      <c r="S63" s="2"/>
      <c r="T63" s="2"/>
      <c r="U63" s="2"/>
      <c r="V63" s="2"/>
      <c r="W63" s="2"/>
      <c r="X63" s="2"/>
      <c r="Y63" s="134"/>
      <c r="Z63" s="2"/>
      <c r="AA63" s="2"/>
      <c r="AB63" s="2"/>
      <c r="AC63" s="2"/>
    </row>
    <row r="64" spans="1:29" ht="14">
      <c r="A64" s="102"/>
      <c r="B64" s="95" t="s">
        <v>228</v>
      </c>
      <c r="C64" s="97">
        <f t="shared" ref="C64:N64" si="17">C62*C63</f>
        <v>1000</v>
      </c>
      <c r="D64" s="97">
        <f t="shared" si="17"/>
        <v>1000</v>
      </c>
      <c r="E64" s="97">
        <f t="shared" si="17"/>
        <v>1000</v>
      </c>
      <c r="F64" s="97">
        <f t="shared" si="17"/>
        <v>1000</v>
      </c>
      <c r="G64" s="97">
        <f t="shared" si="17"/>
        <v>1000</v>
      </c>
      <c r="H64" s="97">
        <f t="shared" si="17"/>
        <v>1000</v>
      </c>
      <c r="I64" s="97">
        <f t="shared" si="17"/>
        <v>1000</v>
      </c>
      <c r="J64" s="97">
        <f t="shared" si="17"/>
        <v>1000</v>
      </c>
      <c r="K64" s="97">
        <f t="shared" si="17"/>
        <v>1000</v>
      </c>
      <c r="L64" s="97">
        <f t="shared" si="17"/>
        <v>1000</v>
      </c>
      <c r="M64" s="97">
        <f t="shared" si="17"/>
        <v>1000</v>
      </c>
      <c r="N64" s="97">
        <f t="shared" si="17"/>
        <v>1000</v>
      </c>
      <c r="O64" s="2"/>
      <c r="P64" s="2"/>
      <c r="Q64" s="2"/>
      <c r="R64" s="2"/>
      <c r="S64" s="2"/>
      <c r="T64" s="2"/>
      <c r="U64" s="2"/>
      <c r="V64" s="2"/>
      <c r="W64" s="2"/>
      <c r="X64" s="2"/>
      <c r="Y64" s="134"/>
      <c r="Z64" s="2"/>
      <c r="AA64" s="2"/>
      <c r="AB64" s="2"/>
      <c r="AC64" s="2"/>
    </row>
    <row r="65" spans="1:29" ht="14">
      <c r="A65" s="102"/>
      <c r="B65" s="89" t="s">
        <v>221</v>
      </c>
      <c r="C65" s="92">
        <v>1</v>
      </c>
      <c r="D65" s="92">
        <v>1</v>
      </c>
      <c r="E65" s="92">
        <v>1</v>
      </c>
      <c r="F65" s="92">
        <v>1</v>
      </c>
      <c r="G65" s="112">
        <v>45658</v>
      </c>
      <c r="H65" s="112">
        <v>45658</v>
      </c>
      <c r="I65" s="112">
        <v>45658</v>
      </c>
      <c r="J65" s="112">
        <v>45658</v>
      </c>
      <c r="K65" s="112">
        <v>45658</v>
      </c>
      <c r="L65" s="112">
        <v>45658</v>
      </c>
      <c r="M65" s="112">
        <v>45658</v>
      </c>
      <c r="N65" s="112">
        <v>45658</v>
      </c>
      <c r="Y65" s="134"/>
    </row>
    <row r="66" spans="1:29" ht="14">
      <c r="A66" s="102"/>
      <c r="B66" s="105" t="s">
        <v>313</v>
      </c>
      <c r="C66" s="120">
        <v>1000</v>
      </c>
      <c r="D66" s="120">
        <v>1000</v>
      </c>
      <c r="E66" s="120">
        <v>1000</v>
      </c>
      <c r="F66" s="120">
        <v>1000</v>
      </c>
      <c r="G66" s="120">
        <v>1000</v>
      </c>
      <c r="H66" s="120">
        <v>1000</v>
      </c>
      <c r="I66" s="120">
        <v>1000</v>
      </c>
      <c r="J66" s="120">
        <v>1000</v>
      </c>
      <c r="K66" s="120">
        <v>1000</v>
      </c>
      <c r="L66" s="120">
        <v>1000</v>
      </c>
      <c r="M66" s="120">
        <v>1000</v>
      </c>
      <c r="N66" s="120">
        <v>1000</v>
      </c>
      <c r="O66" s="2"/>
      <c r="P66" s="2"/>
      <c r="Q66" s="2"/>
      <c r="R66" s="2"/>
      <c r="S66" s="2"/>
      <c r="T66" s="2"/>
      <c r="U66" s="2"/>
      <c r="V66" s="2"/>
      <c r="W66" s="2"/>
      <c r="X66" s="2"/>
      <c r="Y66" s="134"/>
      <c r="Z66" s="2"/>
      <c r="AA66" s="2"/>
      <c r="AB66" s="2"/>
      <c r="AC66" s="2"/>
    </row>
    <row r="67" spans="1:29" ht="14">
      <c r="A67" s="102" t="s">
        <v>314</v>
      </c>
      <c r="B67" s="95" t="s">
        <v>228</v>
      </c>
      <c r="C67" s="97">
        <f t="shared" ref="C67:F67" si="18">C65*C66</f>
        <v>1000</v>
      </c>
      <c r="D67" s="97">
        <f t="shared" si="18"/>
        <v>1000</v>
      </c>
      <c r="E67" s="97">
        <f t="shared" si="18"/>
        <v>1000</v>
      </c>
      <c r="F67" s="97">
        <f t="shared" si="18"/>
        <v>1000</v>
      </c>
      <c r="G67" s="97">
        <v>1100</v>
      </c>
      <c r="H67" s="97">
        <v>1100</v>
      </c>
      <c r="I67" s="97">
        <v>1100</v>
      </c>
      <c r="J67" s="97">
        <v>1100</v>
      </c>
      <c r="K67" s="97">
        <v>1100</v>
      </c>
      <c r="L67" s="97">
        <v>1100</v>
      </c>
      <c r="M67" s="97">
        <v>1100</v>
      </c>
      <c r="N67" s="97">
        <v>1100</v>
      </c>
      <c r="O67" s="2"/>
      <c r="P67" s="2"/>
      <c r="Q67" s="2"/>
      <c r="R67" s="2"/>
      <c r="S67" s="2"/>
      <c r="T67" s="2"/>
      <c r="U67" s="2"/>
      <c r="V67" s="2"/>
      <c r="W67" s="2"/>
      <c r="X67" s="2"/>
      <c r="Y67" s="134"/>
      <c r="Z67" s="2"/>
      <c r="AA67" s="2"/>
      <c r="AB67" s="2"/>
      <c r="AC67" s="2"/>
    </row>
    <row r="68" spans="1:29" ht="14">
      <c r="A68" s="102"/>
      <c r="B68" s="89" t="s">
        <v>221</v>
      </c>
      <c r="C68" s="92" t="s">
        <v>315</v>
      </c>
      <c r="D68" s="92" t="s">
        <v>315</v>
      </c>
      <c r="E68" s="92" t="s">
        <v>315</v>
      </c>
      <c r="F68" s="92" t="s">
        <v>315</v>
      </c>
      <c r="G68" s="92" t="s">
        <v>316</v>
      </c>
      <c r="H68" s="92" t="s">
        <v>316</v>
      </c>
      <c r="I68" s="92" t="s">
        <v>316</v>
      </c>
      <c r="J68" s="92" t="s">
        <v>316</v>
      </c>
      <c r="K68" s="92" t="s">
        <v>316</v>
      </c>
      <c r="L68" s="92" t="s">
        <v>316</v>
      </c>
      <c r="M68" s="92" t="s">
        <v>316</v>
      </c>
      <c r="N68" s="92" t="s">
        <v>316</v>
      </c>
      <c r="O68" s="2"/>
      <c r="P68" s="2"/>
      <c r="Q68" s="2"/>
      <c r="R68" s="2"/>
      <c r="S68" s="2"/>
      <c r="T68" s="2"/>
      <c r="U68" s="2"/>
      <c r="V68" s="2"/>
      <c r="W68" s="2"/>
      <c r="X68" s="2"/>
      <c r="Y68" s="134"/>
      <c r="Z68" s="2"/>
      <c r="AA68" s="2"/>
      <c r="AB68" s="2"/>
      <c r="AC68" s="2"/>
    </row>
    <row r="69" spans="1:29" ht="14">
      <c r="A69" s="102"/>
      <c r="B69" s="105" t="s">
        <v>313</v>
      </c>
      <c r="C69" s="120">
        <v>1000</v>
      </c>
      <c r="D69" s="120">
        <v>1000</v>
      </c>
      <c r="E69" s="120">
        <v>1000</v>
      </c>
      <c r="F69" s="120">
        <v>1000</v>
      </c>
      <c r="G69" s="120">
        <v>1000</v>
      </c>
      <c r="H69" s="120">
        <v>1000</v>
      </c>
      <c r="I69" s="120">
        <v>1000</v>
      </c>
      <c r="J69" s="120">
        <v>1000</v>
      </c>
      <c r="K69" s="120">
        <v>1000</v>
      </c>
      <c r="L69" s="120">
        <v>1000</v>
      </c>
      <c r="M69" s="120">
        <v>1000</v>
      </c>
      <c r="N69" s="120">
        <v>1000</v>
      </c>
      <c r="O69" s="2"/>
      <c r="P69" s="2"/>
      <c r="Q69" s="2"/>
      <c r="R69" s="2"/>
      <c r="S69" s="2"/>
      <c r="T69" s="2"/>
      <c r="U69" s="2"/>
      <c r="V69" s="2"/>
      <c r="W69" s="2"/>
      <c r="X69" s="2"/>
      <c r="Y69" s="134"/>
      <c r="Z69" s="2"/>
      <c r="AA69" s="2"/>
      <c r="AB69" s="2"/>
      <c r="AC69" s="2"/>
    </row>
    <row r="70" spans="1:29" ht="14">
      <c r="A70" s="102" t="s">
        <v>317</v>
      </c>
      <c r="B70" s="95" t="s">
        <v>228</v>
      </c>
      <c r="C70" s="138">
        <v>500</v>
      </c>
      <c r="D70" s="138">
        <v>500</v>
      </c>
      <c r="E70" s="138">
        <v>500</v>
      </c>
      <c r="F70" s="138">
        <v>500</v>
      </c>
      <c r="G70" s="138">
        <v>550</v>
      </c>
      <c r="H70" s="138">
        <v>550</v>
      </c>
      <c r="I70" s="138">
        <v>550</v>
      </c>
      <c r="J70" s="138">
        <v>550</v>
      </c>
      <c r="K70" s="138">
        <v>550</v>
      </c>
      <c r="L70" s="138">
        <v>550</v>
      </c>
      <c r="M70" s="138">
        <v>550</v>
      </c>
      <c r="N70" s="138">
        <v>550</v>
      </c>
      <c r="O70" s="2"/>
      <c r="P70" s="2"/>
      <c r="Q70" s="2"/>
      <c r="R70" s="2"/>
      <c r="S70" s="2"/>
      <c r="T70" s="2"/>
      <c r="U70" s="2"/>
      <c r="V70" s="2"/>
      <c r="W70" s="2"/>
      <c r="X70" s="2"/>
      <c r="Y70" s="134"/>
      <c r="Z70" s="2"/>
      <c r="AA70" s="2"/>
      <c r="AB70" s="2"/>
      <c r="AC70" s="2"/>
    </row>
    <row r="71" spans="1:29" ht="14">
      <c r="A71" s="102"/>
      <c r="B71" s="89" t="s">
        <v>221</v>
      </c>
      <c r="C71" s="120">
        <v>0.2</v>
      </c>
      <c r="D71" s="120">
        <v>0.2</v>
      </c>
      <c r="E71" s="120">
        <v>0.2</v>
      </c>
      <c r="F71" s="120">
        <v>0.2</v>
      </c>
      <c r="G71" s="120">
        <v>0.2</v>
      </c>
      <c r="H71" s="120">
        <v>0.2</v>
      </c>
      <c r="I71" s="120">
        <v>0.2</v>
      </c>
      <c r="J71" s="120">
        <v>0.2</v>
      </c>
      <c r="K71" s="120">
        <v>0.2</v>
      </c>
      <c r="L71" s="120">
        <v>0.2</v>
      </c>
      <c r="M71" s="120">
        <v>0.2</v>
      </c>
      <c r="N71" s="120">
        <v>0.2</v>
      </c>
      <c r="O71" s="2"/>
      <c r="P71" s="2"/>
      <c r="Q71" s="2"/>
      <c r="R71" s="2"/>
      <c r="S71" s="2"/>
      <c r="T71" s="2"/>
      <c r="U71" s="2"/>
      <c r="V71" s="2"/>
      <c r="W71" s="2"/>
      <c r="X71" s="2"/>
      <c r="Y71" s="134"/>
      <c r="Z71" s="2"/>
      <c r="AA71" s="2"/>
      <c r="AB71" s="2"/>
      <c r="AC71" s="2"/>
    </row>
    <row r="72" spans="1:29" ht="14">
      <c r="A72" s="102"/>
      <c r="B72" s="105" t="s">
        <v>313</v>
      </c>
      <c r="C72" s="120">
        <v>1000</v>
      </c>
      <c r="D72" s="120">
        <v>1000</v>
      </c>
      <c r="E72" s="120">
        <v>1000</v>
      </c>
      <c r="F72" s="120">
        <v>1000</v>
      </c>
      <c r="G72" s="120">
        <v>1000</v>
      </c>
      <c r="H72" s="120">
        <v>1000</v>
      </c>
      <c r="I72" s="120">
        <v>1000</v>
      </c>
      <c r="J72" s="120">
        <v>1000</v>
      </c>
      <c r="K72" s="120">
        <v>1000</v>
      </c>
      <c r="L72" s="120">
        <v>1000</v>
      </c>
      <c r="M72" s="120">
        <v>1000</v>
      </c>
      <c r="N72" s="120">
        <v>1000</v>
      </c>
      <c r="O72" s="2"/>
      <c r="P72" s="2"/>
      <c r="Q72" s="2"/>
      <c r="R72" s="2"/>
      <c r="S72" s="2"/>
      <c r="T72" s="2"/>
      <c r="U72" s="2"/>
      <c r="V72" s="2"/>
      <c r="W72" s="2"/>
      <c r="X72" s="2"/>
      <c r="Y72" s="134"/>
      <c r="Z72" s="2"/>
      <c r="AA72" s="2"/>
      <c r="AB72" s="2"/>
      <c r="AC72" s="2"/>
    </row>
    <row r="73" spans="1:29" ht="14">
      <c r="A73" s="102" t="s">
        <v>318</v>
      </c>
      <c r="B73" s="95" t="s">
        <v>228</v>
      </c>
      <c r="C73" s="97">
        <f t="shared" ref="C73:N73" si="19">C71*C72</f>
        <v>200</v>
      </c>
      <c r="D73" s="97">
        <f t="shared" si="19"/>
        <v>200</v>
      </c>
      <c r="E73" s="97">
        <f t="shared" si="19"/>
        <v>200</v>
      </c>
      <c r="F73" s="97">
        <f t="shared" si="19"/>
        <v>200</v>
      </c>
      <c r="G73" s="97">
        <f t="shared" si="19"/>
        <v>200</v>
      </c>
      <c r="H73" s="97">
        <f t="shared" si="19"/>
        <v>200</v>
      </c>
      <c r="I73" s="97">
        <f t="shared" si="19"/>
        <v>200</v>
      </c>
      <c r="J73" s="97">
        <f t="shared" si="19"/>
        <v>200</v>
      </c>
      <c r="K73" s="97">
        <f t="shared" si="19"/>
        <v>200</v>
      </c>
      <c r="L73" s="97">
        <f t="shared" si="19"/>
        <v>200</v>
      </c>
      <c r="M73" s="97">
        <f t="shared" si="19"/>
        <v>200</v>
      </c>
      <c r="N73" s="97">
        <f t="shared" si="19"/>
        <v>200</v>
      </c>
      <c r="O73" s="2"/>
      <c r="P73" s="2"/>
      <c r="Q73" s="2"/>
      <c r="R73" s="2"/>
      <c r="S73" s="2"/>
      <c r="T73" s="2"/>
      <c r="U73" s="2"/>
      <c r="V73" s="2"/>
      <c r="W73" s="2"/>
      <c r="X73" s="2"/>
      <c r="Y73" s="134"/>
      <c r="Z73" s="2"/>
      <c r="AA73" s="2"/>
      <c r="AB73" s="2"/>
      <c r="AC73" s="2"/>
    </row>
    <row r="74" spans="1:29" ht="14">
      <c r="A74" s="102"/>
      <c r="B74" s="89" t="s">
        <v>221</v>
      </c>
      <c r="C74" s="120">
        <v>0.8</v>
      </c>
      <c r="D74" s="120">
        <v>0.8</v>
      </c>
      <c r="E74" s="120">
        <v>0.8</v>
      </c>
      <c r="F74" s="120">
        <v>0.8</v>
      </c>
      <c r="G74" s="120">
        <v>0.85</v>
      </c>
      <c r="H74" s="120">
        <v>0.85</v>
      </c>
      <c r="I74" s="120">
        <v>0.85</v>
      </c>
      <c r="J74" s="120">
        <v>0.85</v>
      </c>
      <c r="K74" s="120">
        <v>0.85</v>
      </c>
      <c r="L74" s="120">
        <v>0.85</v>
      </c>
      <c r="M74" s="120">
        <v>0.85</v>
      </c>
      <c r="N74" s="120">
        <v>0.85</v>
      </c>
      <c r="O74" s="2"/>
      <c r="P74" s="2"/>
      <c r="Q74" s="2"/>
      <c r="R74" s="2"/>
      <c r="S74" s="2"/>
      <c r="T74" s="2"/>
      <c r="U74" s="2"/>
      <c r="V74" s="2"/>
      <c r="W74" s="2"/>
      <c r="X74" s="2"/>
      <c r="Y74" s="134"/>
      <c r="Z74" s="2"/>
      <c r="AA74" s="2"/>
      <c r="AB74" s="2"/>
      <c r="AC74" s="2"/>
    </row>
    <row r="75" spans="1:29" ht="14">
      <c r="A75" s="102"/>
      <c r="B75" s="105" t="s">
        <v>313</v>
      </c>
      <c r="C75" s="120">
        <v>500</v>
      </c>
      <c r="D75" s="120">
        <v>500</v>
      </c>
      <c r="E75" s="120">
        <v>500</v>
      </c>
      <c r="F75" s="120">
        <v>500</v>
      </c>
      <c r="G75" s="120">
        <v>500</v>
      </c>
      <c r="H75" s="120">
        <v>500</v>
      </c>
      <c r="I75" s="120">
        <v>500</v>
      </c>
      <c r="J75" s="120">
        <v>500</v>
      </c>
      <c r="K75" s="120">
        <v>500</v>
      </c>
      <c r="L75" s="120">
        <v>500</v>
      </c>
      <c r="M75" s="120">
        <v>500</v>
      </c>
      <c r="N75" s="120">
        <v>500</v>
      </c>
      <c r="O75" s="2"/>
      <c r="P75" s="2"/>
      <c r="Q75" s="2"/>
      <c r="R75" s="2"/>
      <c r="S75" s="2"/>
      <c r="T75" s="2"/>
      <c r="U75" s="2"/>
      <c r="V75" s="2"/>
      <c r="W75" s="2"/>
      <c r="X75" s="2"/>
      <c r="Y75" s="134"/>
      <c r="Z75" s="2"/>
      <c r="AA75" s="2"/>
      <c r="AB75" s="2"/>
      <c r="AC75" s="2"/>
    </row>
    <row r="76" spans="1:29" ht="14">
      <c r="A76" s="102" t="s">
        <v>319</v>
      </c>
      <c r="B76" s="95" t="s">
        <v>228</v>
      </c>
      <c r="C76" s="97">
        <f t="shared" ref="C76:N76" si="20">C74*C75</f>
        <v>400</v>
      </c>
      <c r="D76" s="97">
        <f t="shared" si="20"/>
        <v>400</v>
      </c>
      <c r="E76" s="97">
        <f t="shared" si="20"/>
        <v>400</v>
      </c>
      <c r="F76" s="97">
        <f t="shared" si="20"/>
        <v>400</v>
      </c>
      <c r="G76" s="97">
        <f t="shared" si="20"/>
        <v>425</v>
      </c>
      <c r="H76" s="97">
        <f t="shared" si="20"/>
        <v>425</v>
      </c>
      <c r="I76" s="97">
        <f t="shared" si="20"/>
        <v>425</v>
      </c>
      <c r="J76" s="97">
        <f t="shared" si="20"/>
        <v>425</v>
      </c>
      <c r="K76" s="97">
        <f t="shared" si="20"/>
        <v>425</v>
      </c>
      <c r="L76" s="97">
        <f t="shared" si="20"/>
        <v>425</v>
      </c>
      <c r="M76" s="97">
        <f t="shared" si="20"/>
        <v>425</v>
      </c>
      <c r="N76" s="97">
        <f t="shared" si="20"/>
        <v>425</v>
      </c>
      <c r="O76" s="2"/>
      <c r="P76" s="2"/>
      <c r="Q76" s="2"/>
      <c r="R76" s="2"/>
      <c r="S76" s="2"/>
      <c r="T76" s="2"/>
      <c r="U76" s="2"/>
      <c r="V76" s="2"/>
      <c r="W76" s="2"/>
      <c r="X76" s="2"/>
      <c r="Y76" s="134"/>
      <c r="Z76" s="2"/>
      <c r="AA76" s="2"/>
      <c r="AB76" s="2"/>
      <c r="AC76" s="2"/>
    </row>
    <row r="77" spans="1:29" ht="14">
      <c r="A77" s="102"/>
      <c r="B77" s="89" t="s">
        <v>221</v>
      </c>
      <c r="C77" s="120">
        <v>0.3</v>
      </c>
      <c r="D77" s="120">
        <v>0.3</v>
      </c>
      <c r="E77" s="120">
        <v>0.3</v>
      </c>
      <c r="F77" s="120">
        <v>0.3</v>
      </c>
      <c r="G77" s="120">
        <v>0.3</v>
      </c>
      <c r="H77" s="120">
        <v>0.3</v>
      </c>
      <c r="I77" s="120">
        <v>0.3</v>
      </c>
      <c r="J77" s="120">
        <v>0.3</v>
      </c>
      <c r="K77" s="120">
        <v>0.3</v>
      </c>
      <c r="L77" s="120">
        <v>0.3</v>
      </c>
      <c r="M77" s="120">
        <v>0.3</v>
      </c>
      <c r="N77" s="120">
        <v>0.3</v>
      </c>
      <c r="O77" s="2"/>
      <c r="P77" s="2"/>
      <c r="Q77" s="2"/>
      <c r="R77" s="2"/>
      <c r="S77" s="2"/>
      <c r="T77" s="2"/>
      <c r="U77" s="2"/>
      <c r="V77" s="2"/>
      <c r="W77" s="2"/>
      <c r="X77" s="2"/>
      <c r="Y77" s="134"/>
      <c r="Z77" s="2"/>
      <c r="AA77" s="2"/>
      <c r="AB77" s="2"/>
      <c r="AC77" s="2"/>
    </row>
    <row r="78" spans="1:29" ht="14">
      <c r="A78" s="102"/>
      <c r="B78" s="105" t="s">
        <v>313</v>
      </c>
      <c r="C78" s="120">
        <v>500</v>
      </c>
      <c r="D78" s="120">
        <v>500</v>
      </c>
      <c r="E78" s="120">
        <v>500</v>
      </c>
      <c r="F78" s="120">
        <v>500</v>
      </c>
      <c r="G78" s="120">
        <v>500</v>
      </c>
      <c r="H78" s="120">
        <v>500</v>
      </c>
      <c r="I78" s="120">
        <v>500</v>
      </c>
      <c r="J78" s="120">
        <v>500</v>
      </c>
      <c r="K78" s="120">
        <v>500</v>
      </c>
      <c r="L78" s="120">
        <v>500</v>
      </c>
      <c r="M78" s="120">
        <v>500</v>
      </c>
      <c r="N78" s="120">
        <v>500</v>
      </c>
      <c r="O78" s="2"/>
      <c r="P78" s="2"/>
      <c r="Q78" s="2"/>
      <c r="R78" s="2"/>
      <c r="S78" s="2"/>
      <c r="T78" s="2"/>
      <c r="U78" s="2"/>
      <c r="V78" s="2"/>
      <c r="W78" s="2"/>
      <c r="X78" s="2"/>
      <c r="Y78" s="134"/>
      <c r="Z78" s="2"/>
      <c r="AA78" s="2"/>
      <c r="AB78" s="2"/>
      <c r="AC78" s="2"/>
    </row>
    <row r="79" spans="1:29" ht="14">
      <c r="A79" s="102" t="s">
        <v>320</v>
      </c>
      <c r="B79" s="95" t="s">
        <v>228</v>
      </c>
      <c r="C79" s="97">
        <f t="shared" ref="C79:N79" si="21">C77*C78</f>
        <v>150</v>
      </c>
      <c r="D79" s="97">
        <f t="shared" si="21"/>
        <v>150</v>
      </c>
      <c r="E79" s="97">
        <f t="shared" si="21"/>
        <v>150</v>
      </c>
      <c r="F79" s="97">
        <f t="shared" si="21"/>
        <v>150</v>
      </c>
      <c r="G79" s="97">
        <f t="shared" si="21"/>
        <v>150</v>
      </c>
      <c r="H79" s="97">
        <f t="shared" si="21"/>
        <v>150</v>
      </c>
      <c r="I79" s="97">
        <f t="shared" si="21"/>
        <v>150</v>
      </c>
      <c r="J79" s="97">
        <f t="shared" si="21"/>
        <v>150</v>
      </c>
      <c r="K79" s="97">
        <f t="shared" si="21"/>
        <v>150</v>
      </c>
      <c r="L79" s="97">
        <f t="shared" si="21"/>
        <v>150</v>
      </c>
      <c r="M79" s="97">
        <f t="shared" si="21"/>
        <v>150</v>
      </c>
      <c r="N79" s="97">
        <f t="shared" si="21"/>
        <v>150</v>
      </c>
      <c r="O79" s="2"/>
      <c r="P79" s="2"/>
      <c r="Q79" s="2"/>
      <c r="R79" s="2"/>
      <c r="S79" s="2"/>
      <c r="T79" s="2"/>
      <c r="U79" s="2"/>
      <c r="V79" s="2"/>
      <c r="W79" s="2"/>
      <c r="X79" s="2"/>
      <c r="Y79" s="134"/>
      <c r="Z79" s="2"/>
      <c r="AA79" s="2"/>
      <c r="AB79" s="2"/>
      <c r="AC79" s="2"/>
    </row>
    <row r="80" spans="1:29" ht="14">
      <c r="A80" s="102"/>
      <c r="B80" s="89" t="s">
        <v>221</v>
      </c>
      <c r="C80" s="92">
        <v>10</v>
      </c>
      <c r="D80" s="92">
        <v>10</v>
      </c>
      <c r="E80" s="92">
        <v>10</v>
      </c>
      <c r="F80" s="92">
        <v>10</v>
      </c>
      <c r="G80" s="112">
        <v>45787</v>
      </c>
      <c r="H80" s="112">
        <v>45787</v>
      </c>
      <c r="I80" s="112">
        <v>45787</v>
      </c>
      <c r="J80" s="112">
        <v>45787</v>
      </c>
      <c r="K80" s="112">
        <v>45787</v>
      </c>
      <c r="L80" s="112">
        <v>45787</v>
      </c>
      <c r="M80" s="112">
        <v>45787</v>
      </c>
      <c r="N80" s="112">
        <v>45787</v>
      </c>
      <c r="O80" s="2"/>
      <c r="P80" s="2"/>
      <c r="Q80" s="2"/>
      <c r="R80" s="2"/>
      <c r="S80" s="2"/>
      <c r="T80" s="2"/>
      <c r="U80" s="2"/>
      <c r="V80" s="2"/>
      <c r="W80" s="2"/>
      <c r="X80" s="2"/>
      <c r="Y80" s="134"/>
      <c r="Z80" s="2"/>
      <c r="AA80" s="2"/>
      <c r="AB80" s="2"/>
      <c r="AC80" s="2"/>
    </row>
    <row r="81" spans="1:29" ht="14">
      <c r="A81" s="102"/>
      <c r="B81" s="105" t="s">
        <v>276</v>
      </c>
      <c r="C81" s="120">
        <v>40</v>
      </c>
      <c r="D81" s="120">
        <v>40</v>
      </c>
      <c r="E81" s="120">
        <v>40</v>
      </c>
      <c r="F81" s="120">
        <v>40</v>
      </c>
      <c r="G81" s="120">
        <v>40</v>
      </c>
      <c r="H81" s="120">
        <v>40</v>
      </c>
      <c r="I81" s="120">
        <v>40</v>
      </c>
      <c r="J81" s="120">
        <v>40</v>
      </c>
      <c r="K81" s="120">
        <v>40</v>
      </c>
      <c r="L81" s="120">
        <v>40</v>
      </c>
      <c r="M81" s="120">
        <v>40</v>
      </c>
      <c r="N81" s="120">
        <v>40</v>
      </c>
      <c r="O81" s="2"/>
      <c r="P81" s="2"/>
      <c r="Q81" s="2"/>
      <c r="R81" s="2"/>
      <c r="S81" s="2"/>
      <c r="T81" s="2"/>
      <c r="U81" s="2"/>
      <c r="V81" s="2"/>
      <c r="W81" s="2"/>
      <c r="X81" s="2"/>
      <c r="Y81" s="134"/>
      <c r="Z81" s="2"/>
      <c r="AA81" s="2"/>
      <c r="AB81" s="2"/>
      <c r="AC81" s="2"/>
    </row>
    <row r="82" spans="1:29" ht="14">
      <c r="A82" s="102" t="s">
        <v>321</v>
      </c>
      <c r="B82" s="95" t="s">
        <v>228</v>
      </c>
      <c r="C82" s="97">
        <f t="shared" ref="C82:F82" si="22">C80*C81</f>
        <v>400</v>
      </c>
      <c r="D82" s="97">
        <f t="shared" si="22"/>
        <v>400</v>
      </c>
      <c r="E82" s="97">
        <f t="shared" si="22"/>
        <v>400</v>
      </c>
      <c r="F82" s="97">
        <f t="shared" si="22"/>
        <v>400</v>
      </c>
      <c r="G82" s="97">
        <v>420</v>
      </c>
      <c r="H82" s="97">
        <v>420</v>
      </c>
      <c r="I82" s="97">
        <v>420</v>
      </c>
      <c r="J82" s="97">
        <v>420</v>
      </c>
      <c r="K82" s="97">
        <v>420</v>
      </c>
      <c r="L82" s="97">
        <v>420</v>
      </c>
      <c r="M82" s="97">
        <v>420</v>
      </c>
      <c r="N82" s="97">
        <v>420</v>
      </c>
      <c r="O82" s="2"/>
      <c r="P82" s="2"/>
      <c r="Q82" s="2"/>
      <c r="R82" s="2"/>
      <c r="S82" s="2"/>
      <c r="T82" s="2"/>
      <c r="U82" s="2"/>
      <c r="V82" s="2"/>
      <c r="W82" s="2"/>
      <c r="X82" s="2"/>
      <c r="Y82" s="134"/>
      <c r="Z82" s="2"/>
      <c r="AA82" s="2"/>
      <c r="AB82" s="2"/>
      <c r="AC82" s="2"/>
    </row>
    <row r="83" spans="1:29" ht="14">
      <c r="A83" s="102"/>
      <c r="B83" s="89" t="s">
        <v>221</v>
      </c>
      <c r="C83" s="92">
        <v>15</v>
      </c>
      <c r="D83" s="92">
        <v>14</v>
      </c>
      <c r="E83" s="92">
        <v>12</v>
      </c>
      <c r="F83" s="92">
        <v>12</v>
      </c>
      <c r="G83" s="92">
        <v>13</v>
      </c>
      <c r="H83" s="92">
        <v>14</v>
      </c>
      <c r="I83" s="92">
        <v>15</v>
      </c>
      <c r="J83" s="92">
        <v>16</v>
      </c>
      <c r="K83" s="92">
        <v>17</v>
      </c>
      <c r="L83" s="92">
        <v>18</v>
      </c>
      <c r="M83" s="92">
        <v>18</v>
      </c>
      <c r="N83" s="92">
        <v>17</v>
      </c>
      <c r="O83" s="2"/>
      <c r="P83" s="2"/>
      <c r="Q83" s="2"/>
      <c r="R83" s="2"/>
      <c r="S83" s="2"/>
      <c r="T83" s="2"/>
      <c r="U83" s="2"/>
      <c r="V83" s="2"/>
      <c r="W83" s="2"/>
      <c r="X83" s="2"/>
      <c r="Y83" s="134"/>
      <c r="Z83" s="2"/>
      <c r="AA83" s="2"/>
      <c r="AB83" s="2"/>
      <c r="AC83" s="2"/>
    </row>
    <row r="84" spans="1:29" ht="14">
      <c r="A84" s="102"/>
      <c r="B84" s="105" t="s">
        <v>276</v>
      </c>
      <c r="C84" s="120">
        <v>30</v>
      </c>
      <c r="D84" s="120">
        <v>30</v>
      </c>
      <c r="E84" s="120">
        <v>30</v>
      </c>
      <c r="F84" s="120">
        <v>30</v>
      </c>
      <c r="G84" s="120">
        <v>30</v>
      </c>
      <c r="H84" s="120">
        <v>30</v>
      </c>
      <c r="I84" s="120">
        <v>30</v>
      </c>
      <c r="J84" s="120">
        <v>30</v>
      </c>
      <c r="K84" s="120">
        <v>30</v>
      </c>
      <c r="L84" s="120">
        <v>30</v>
      </c>
      <c r="M84" s="120">
        <v>30</v>
      </c>
      <c r="N84" s="120">
        <v>30</v>
      </c>
      <c r="O84" s="2"/>
      <c r="P84" s="2"/>
      <c r="Q84" s="2"/>
      <c r="R84" s="2"/>
      <c r="S84" s="2"/>
      <c r="T84" s="2"/>
      <c r="U84" s="2"/>
      <c r="V84" s="2"/>
      <c r="W84" s="2"/>
      <c r="X84" s="2"/>
      <c r="Y84" s="134"/>
      <c r="Z84" s="2"/>
      <c r="AA84" s="2"/>
      <c r="AB84" s="2"/>
      <c r="AC84" s="2"/>
    </row>
    <row r="85" spans="1:29" ht="14">
      <c r="A85" s="102" t="s">
        <v>322</v>
      </c>
      <c r="B85" s="95" t="s">
        <v>228</v>
      </c>
      <c r="C85" s="97">
        <f t="shared" ref="C85:N85" si="23">C83*C83</f>
        <v>225</v>
      </c>
      <c r="D85" s="97">
        <f t="shared" si="23"/>
        <v>196</v>
      </c>
      <c r="E85" s="97">
        <f t="shared" si="23"/>
        <v>144</v>
      </c>
      <c r="F85" s="97">
        <f t="shared" si="23"/>
        <v>144</v>
      </c>
      <c r="G85" s="97">
        <f t="shared" si="23"/>
        <v>169</v>
      </c>
      <c r="H85" s="97">
        <f t="shared" si="23"/>
        <v>196</v>
      </c>
      <c r="I85" s="97">
        <f t="shared" si="23"/>
        <v>225</v>
      </c>
      <c r="J85" s="97">
        <f t="shared" si="23"/>
        <v>256</v>
      </c>
      <c r="K85" s="97">
        <f t="shared" si="23"/>
        <v>289</v>
      </c>
      <c r="L85" s="97">
        <f t="shared" si="23"/>
        <v>324</v>
      </c>
      <c r="M85" s="97">
        <f t="shared" si="23"/>
        <v>324</v>
      </c>
      <c r="N85" s="97">
        <f t="shared" si="23"/>
        <v>289</v>
      </c>
      <c r="O85" s="2"/>
      <c r="P85" s="2"/>
      <c r="Q85" s="2"/>
      <c r="R85" s="2"/>
      <c r="S85" s="2"/>
      <c r="T85" s="2"/>
      <c r="U85" s="2"/>
      <c r="V85" s="2"/>
      <c r="W85" s="2"/>
      <c r="X85" s="2"/>
      <c r="Y85" s="134"/>
      <c r="Z85" s="2"/>
      <c r="AA85" s="2"/>
      <c r="AB85" s="2"/>
      <c r="AC85" s="2"/>
    </row>
    <row r="86" spans="1:29" ht="14">
      <c r="A86" s="102"/>
      <c r="B86" s="89" t="s">
        <v>221</v>
      </c>
      <c r="C86" s="92">
        <v>45</v>
      </c>
      <c r="D86" s="92">
        <v>42</v>
      </c>
      <c r="E86" s="92">
        <v>40</v>
      </c>
      <c r="F86" s="92">
        <v>38</v>
      </c>
      <c r="G86" s="92">
        <v>40</v>
      </c>
      <c r="H86" s="92">
        <v>42</v>
      </c>
      <c r="I86" s="92">
        <v>45</v>
      </c>
      <c r="J86" s="92">
        <v>48</v>
      </c>
      <c r="K86" s="92">
        <v>50</v>
      </c>
      <c r="L86" s="92">
        <v>52</v>
      </c>
      <c r="M86" s="92">
        <v>52</v>
      </c>
      <c r="N86" s="92">
        <v>50</v>
      </c>
      <c r="O86" s="2"/>
      <c r="P86" s="2"/>
      <c r="Q86" s="2"/>
      <c r="R86" s="2"/>
      <c r="S86" s="2"/>
      <c r="T86" s="2"/>
      <c r="U86" s="2"/>
      <c r="V86" s="2"/>
      <c r="W86" s="2"/>
      <c r="X86" s="2"/>
      <c r="Y86" s="134"/>
      <c r="Z86" s="2"/>
      <c r="AA86" s="2"/>
      <c r="AB86" s="2"/>
      <c r="AC86" s="2"/>
    </row>
    <row r="87" spans="1:29" ht="14">
      <c r="A87" s="102"/>
      <c r="B87" s="89" t="s">
        <v>223</v>
      </c>
      <c r="C87" s="120">
        <v>50</v>
      </c>
      <c r="D87" s="120">
        <v>50</v>
      </c>
      <c r="E87" s="120">
        <v>50</v>
      </c>
      <c r="F87" s="120">
        <v>50</v>
      </c>
      <c r="G87" s="120">
        <v>50</v>
      </c>
      <c r="H87" s="120">
        <v>50</v>
      </c>
      <c r="I87" s="120">
        <v>50</v>
      </c>
      <c r="J87" s="120">
        <v>50</v>
      </c>
      <c r="K87" s="120">
        <v>50</v>
      </c>
      <c r="L87" s="120">
        <v>50</v>
      </c>
      <c r="M87" s="120">
        <v>50</v>
      </c>
      <c r="N87" s="120">
        <v>50</v>
      </c>
      <c r="O87" s="2"/>
      <c r="P87" s="2"/>
      <c r="Q87" s="2"/>
      <c r="R87" s="2"/>
      <c r="S87" s="2"/>
      <c r="T87" s="2"/>
      <c r="U87" s="2"/>
      <c r="V87" s="2"/>
      <c r="W87" s="2"/>
      <c r="X87" s="2"/>
      <c r="Y87" s="134"/>
      <c r="Z87" s="2"/>
      <c r="AA87" s="2"/>
      <c r="AB87" s="2"/>
      <c r="AC87" s="2"/>
    </row>
    <row r="88" spans="1:29" ht="14">
      <c r="A88" s="102" t="s">
        <v>323</v>
      </c>
      <c r="B88" s="95" t="s">
        <v>228</v>
      </c>
      <c r="C88" s="97">
        <f t="shared" ref="C88:N88" si="24">C86*C87</f>
        <v>2250</v>
      </c>
      <c r="D88" s="97">
        <f t="shared" si="24"/>
        <v>2100</v>
      </c>
      <c r="E88" s="97">
        <f t="shared" si="24"/>
        <v>2000</v>
      </c>
      <c r="F88" s="97">
        <f t="shared" si="24"/>
        <v>1900</v>
      </c>
      <c r="G88" s="97">
        <f t="shared" si="24"/>
        <v>2000</v>
      </c>
      <c r="H88" s="97">
        <f t="shared" si="24"/>
        <v>2100</v>
      </c>
      <c r="I88" s="97">
        <f t="shared" si="24"/>
        <v>2250</v>
      </c>
      <c r="J88" s="97">
        <f t="shared" si="24"/>
        <v>2400</v>
      </c>
      <c r="K88" s="97">
        <f t="shared" si="24"/>
        <v>2500</v>
      </c>
      <c r="L88" s="97">
        <f t="shared" si="24"/>
        <v>2600</v>
      </c>
      <c r="M88" s="97">
        <f t="shared" si="24"/>
        <v>2600</v>
      </c>
      <c r="N88" s="97">
        <f t="shared" si="24"/>
        <v>2500</v>
      </c>
      <c r="O88" s="2"/>
      <c r="P88" s="2"/>
      <c r="Q88" s="2"/>
      <c r="R88" s="2"/>
      <c r="S88" s="2"/>
      <c r="T88" s="2"/>
      <c r="U88" s="2"/>
      <c r="V88" s="2"/>
      <c r="W88" s="2"/>
      <c r="X88" s="2"/>
      <c r="Y88" s="134"/>
      <c r="Z88" s="2"/>
      <c r="AA88" s="2"/>
      <c r="AB88" s="2"/>
      <c r="AC88" s="2"/>
    </row>
    <row r="89" spans="1:29" ht="14">
      <c r="A89" s="102"/>
      <c r="B89" s="89" t="s">
        <v>221</v>
      </c>
      <c r="C89" s="120">
        <v>12</v>
      </c>
      <c r="D89" s="120">
        <v>12</v>
      </c>
      <c r="E89" s="120">
        <v>12</v>
      </c>
      <c r="F89" s="120">
        <v>12</v>
      </c>
      <c r="G89" s="120">
        <v>12</v>
      </c>
      <c r="H89" s="120">
        <v>12</v>
      </c>
      <c r="I89" s="120">
        <v>12</v>
      </c>
      <c r="J89" s="120">
        <v>12</v>
      </c>
      <c r="K89" s="120">
        <v>12</v>
      </c>
      <c r="L89" s="120">
        <v>12</v>
      </c>
      <c r="M89" s="120">
        <v>12</v>
      </c>
      <c r="N89" s="120">
        <v>12</v>
      </c>
      <c r="O89" s="2"/>
      <c r="P89" s="2"/>
      <c r="Q89" s="2"/>
      <c r="R89" s="2"/>
      <c r="S89" s="2"/>
      <c r="T89" s="2"/>
      <c r="U89" s="2"/>
      <c r="V89" s="2"/>
      <c r="W89" s="2"/>
      <c r="X89" s="2"/>
      <c r="Y89" s="134"/>
      <c r="Z89" s="2"/>
      <c r="AA89" s="2"/>
      <c r="AB89" s="2"/>
      <c r="AC89" s="2"/>
    </row>
    <row r="90" spans="1:29" ht="14">
      <c r="A90" s="102"/>
      <c r="B90" s="89" t="s">
        <v>223</v>
      </c>
      <c r="C90" s="120">
        <v>10</v>
      </c>
      <c r="D90" s="120">
        <v>10</v>
      </c>
      <c r="E90" s="120">
        <v>10</v>
      </c>
      <c r="F90" s="120">
        <v>10</v>
      </c>
      <c r="G90" s="120">
        <v>10</v>
      </c>
      <c r="H90" s="120">
        <v>10</v>
      </c>
      <c r="I90" s="120">
        <v>10</v>
      </c>
      <c r="J90" s="120">
        <v>10</v>
      </c>
      <c r="K90" s="120">
        <v>10</v>
      </c>
      <c r="L90" s="120">
        <v>10</v>
      </c>
      <c r="M90" s="120">
        <v>10</v>
      </c>
      <c r="N90" s="120">
        <v>10</v>
      </c>
      <c r="O90" s="2"/>
      <c r="P90" s="2"/>
      <c r="Q90" s="2"/>
      <c r="R90" s="2"/>
      <c r="S90" s="2"/>
      <c r="T90" s="2"/>
      <c r="U90" s="2"/>
      <c r="V90" s="2"/>
      <c r="W90" s="2"/>
      <c r="X90" s="2"/>
      <c r="Y90" s="134"/>
      <c r="Z90" s="2"/>
      <c r="AA90" s="2"/>
      <c r="AB90" s="2"/>
      <c r="AC90" s="2"/>
    </row>
    <row r="91" spans="1:29" ht="14">
      <c r="A91" s="102" t="s">
        <v>324</v>
      </c>
      <c r="B91" s="95" t="s">
        <v>228</v>
      </c>
      <c r="C91" s="97">
        <f t="shared" ref="C91:N91" si="25">C89*C90</f>
        <v>120</v>
      </c>
      <c r="D91" s="97">
        <f t="shared" si="25"/>
        <v>120</v>
      </c>
      <c r="E91" s="97">
        <f t="shared" si="25"/>
        <v>120</v>
      </c>
      <c r="F91" s="97">
        <f t="shared" si="25"/>
        <v>120</v>
      </c>
      <c r="G91" s="97">
        <f t="shared" si="25"/>
        <v>120</v>
      </c>
      <c r="H91" s="97">
        <f t="shared" si="25"/>
        <v>120</v>
      </c>
      <c r="I91" s="97">
        <f t="shared" si="25"/>
        <v>120</v>
      </c>
      <c r="J91" s="97">
        <f t="shared" si="25"/>
        <v>120</v>
      </c>
      <c r="K91" s="97">
        <f t="shared" si="25"/>
        <v>120</v>
      </c>
      <c r="L91" s="97">
        <f t="shared" si="25"/>
        <v>120</v>
      </c>
      <c r="M91" s="97">
        <f t="shared" si="25"/>
        <v>120</v>
      </c>
      <c r="N91" s="97">
        <f t="shared" si="25"/>
        <v>120</v>
      </c>
      <c r="O91" s="2"/>
      <c r="P91" s="2"/>
      <c r="Q91" s="2"/>
      <c r="R91" s="2"/>
      <c r="S91" s="2"/>
      <c r="T91" s="2"/>
      <c r="U91" s="2"/>
      <c r="V91" s="2"/>
      <c r="W91" s="2"/>
      <c r="X91" s="2"/>
      <c r="Y91" s="134"/>
      <c r="Z91" s="2"/>
      <c r="AA91" s="2"/>
      <c r="AB91" s="2"/>
      <c r="AC91" s="2"/>
    </row>
    <row r="92" spans="1:29" ht="14">
      <c r="A92" s="102"/>
      <c r="B92" s="89" t="s">
        <v>221</v>
      </c>
      <c r="C92" s="92">
        <v>240</v>
      </c>
      <c r="D92" s="92">
        <v>240</v>
      </c>
      <c r="E92" s="92">
        <v>240</v>
      </c>
      <c r="F92" s="92">
        <v>242</v>
      </c>
      <c r="G92" s="92">
        <v>245</v>
      </c>
      <c r="H92" s="92">
        <v>245</v>
      </c>
      <c r="I92" s="92">
        <v>242</v>
      </c>
      <c r="J92" s="92">
        <v>242</v>
      </c>
      <c r="K92" s="92">
        <v>245</v>
      </c>
      <c r="L92" s="92">
        <v>245</v>
      </c>
      <c r="M92" s="92">
        <v>245</v>
      </c>
      <c r="N92" s="92">
        <v>245</v>
      </c>
      <c r="O92" s="2"/>
      <c r="P92" s="2"/>
      <c r="Q92" s="2"/>
      <c r="R92" s="2"/>
      <c r="S92" s="2"/>
      <c r="T92" s="2"/>
      <c r="U92" s="2"/>
      <c r="V92" s="2"/>
      <c r="W92" s="2"/>
      <c r="X92" s="2"/>
      <c r="Y92" s="134"/>
      <c r="Z92" s="2"/>
      <c r="AA92" s="2"/>
      <c r="AB92" s="2"/>
      <c r="AC92" s="2"/>
    </row>
    <row r="93" spans="1:29" ht="14">
      <c r="A93" s="102"/>
      <c r="B93" s="105" t="s">
        <v>276</v>
      </c>
      <c r="C93" s="120">
        <v>20</v>
      </c>
      <c r="D93" s="120">
        <v>20</v>
      </c>
      <c r="E93" s="120">
        <v>20</v>
      </c>
      <c r="F93" s="120">
        <v>20</v>
      </c>
      <c r="G93" s="120">
        <v>20</v>
      </c>
      <c r="H93" s="120">
        <v>20</v>
      </c>
      <c r="I93" s="120">
        <v>20</v>
      </c>
      <c r="J93" s="120">
        <v>20</v>
      </c>
      <c r="K93" s="120">
        <v>20</v>
      </c>
      <c r="L93" s="120">
        <v>20</v>
      </c>
      <c r="M93" s="120">
        <v>20</v>
      </c>
      <c r="N93" s="120">
        <v>20</v>
      </c>
      <c r="O93" s="2"/>
      <c r="P93" s="2"/>
      <c r="Q93" s="2"/>
      <c r="R93" s="2"/>
      <c r="S93" s="2"/>
      <c r="T93" s="2"/>
      <c r="U93" s="2"/>
      <c r="V93" s="2"/>
      <c r="W93" s="2"/>
      <c r="X93" s="2"/>
      <c r="Y93" s="134"/>
      <c r="Z93" s="2"/>
      <c r="AA93" s="2"/>
      <c r="AB93" s="2"/>
      <c r="AC93" s="2"/>
    </row>
    <row r="94" spans="1:29" ht="14">
      <c r="A94" s="102" t="s">
        <v>325</v>
      </c>
      <c r="B94" s="95" t="s">
        <v>228</v>
      </c>
      <c r="C94" s="97">
        <f t="shared" ref="C94:N94" si="26">C92*C93</f>
        <v>4800</v>
      </c>
      <c r="D94" s="97">
        <f t="shared" si="26"/>
        <v>4800</v>
      </c>
      <c r="E94" s="97">
        <f t="shared" si="26"/>
        <v>4800</v>
      </c>
      <c r="F94" s="97">
        <f t="shared" si="26"/>
        <v>4840</v>
      </c>
      <c r="G94" s="97">
        <f t="shared" si="26"/>
        <v>4900</v>
      </c>
      <c r="H94" s="97">
        <f t="shared" si="26"/>
        <v>4900</v>
      </c>
      <c r="I94" s="97">
        <f t="shared" si="26"/>
        <v>4840</v>
      </c>
      <c r="J94" s="97">
        <f t="shared" si="26"/>
        <v>4840</v>
      </c>
      <c r="K94" s="97">
        <f t="shared" si="26"/>
        <v>4900</v>
      </c>
      <c r="L94" s="97">
        <f t="shared" si="26"/>
        <v>4900</v>
      </c>
      <c r="M94" s="97">
        <f t="shared" si="26"/>
        <v>4900</v>
      </c>
      <c r="N94" s="97">
        <f t="shared" si="26"/>
        <v>4900</v>
      </c>
      <c r="O94" s="2"/>
      <c r="P94" s="2"/>
      <c r="Q94" s="2"/>
      <c r="R94" s="2"/>
      <c r="S94" s="2"/>
      <c r="T94" s="2"/>
      <c r="U94" s="2"/>
      <c r="V94" s="2"/>
      <c r="W94" s="2"/>
      <c r="X94" s="2"/>
      <c r="Y94" s="134"/>
      <c r="Z94" s="2"/>
      <c r="AA94" s="2"/>
      <c r="AB94" s="2"/>
      <c r="AC94" s="2"/>
    </row>
    <row r="95" spans="1:29" ht="14">
      <c r="A95" s="102"/>
      <c r="B95" s="89" t="s">
        <v>221</v>
      </c>
      <c r="C95" s="92">
        <v>450</v>
      </c>
      <c r="D95" s="92">
        <v>450</v>
      </c>
      <c r="E95" s="92">
        <v>455</v>
      </c>
      <c r="F95" s="92">
        <v>455</v>
      </c>
      <c r="G95" s="92">
        <v>458</v>
      </c>
      <c r="H95" s="92">
        <v>458</v>
      </c>
      <c r="I95" s="92">
        <v>455</v>
      </c>
      <c r="J95" s="92">
        <v>455</v>
      </c>
      <c r="K95" s="92">
        <v>458</v>
      </c>
      <c r="L95" s="92">
        <v>458</v>
      </c>
      <c r="M95" s="92">
        <v>460</v>
      </c>
      <c r="N95" s="92">
        <v>460</v>
      </c>
      <c r="O95" s="2"/>
      <c r="P95" s="2"/>
      <c r="Q95" s="2"/>
      <c r="R95" s="2"/>
      <c r="S95" s="2"/>
      <c r="T95" s="2"/>
      <c r="U95" s="2"/>
      <c r="V95" s="2"/>
      <c r="W95" s="2"/>
      <c r="X95" s="2"/>
      <c r="Y95" s="134"/>
      <c r="Z95" s="2"/>
      <c r="AA95" s="2"/>
      <c r="AB95" s="2"/>
      <c r="AC95" s="2"/>
    </row>
    <row r="96" spans="1:29" ht="14">
      <c r="A96" s="102"/>
      <c r="B96" s="105" t="s">
        <v>276</v>
      </c>
      <c r="C96" s="120">
        <v>10</v>
      </c>
      <c r="D96" s="120">
        <v>10</v>
      </c>
      <c r="E96" s="120">
        <v>10</v>
      </c>
      <c r="F96" s="120">
        <v>10</v>
      </c>
      <c r="G96" s="120">
        <v>10</v>
      </c>
      <c r="H96" s="120">
        <v>10</v>
      </c>
      <c r="I96" s="120">
        <v>10</v>
      </c>
      <c r="J96" s="120">
        <v>10</v>
      </c>
      <c r="K96" s="120">
        <v>10</v>
      </c>
      <c r="L96" s="120">
        <v>10</v>
      </c>
      <c r="M96" s="120">
        <v>10</v>
      </c>
      <c r="N96" s="120">
        <v>10</v>
      </c>
      <c r="O96" s="2"/>
      <c r="P96" s="2"/>
      <c r="Q96" s="2"/>
      <c r="R96" s="2"/>
      <c r="S96" s="2"/>
      <c r="T96" s="2"/>
      <c r="U96" s="2"/>
      <c r="V96" s="2"/>
      <c r="W96" s="2"/>
      <c r="X96" s="2"/>
      <c r="Y96" s="134"/>
      <c r="Z96" s="2"/>
      <c r="AA96" s="2"/>
      <c r="AB96" s="2"/>
      <c r="AC96" s="2"/>
    </row>
    <row r="97" spans="1:29" ht="14">
      <c r="A97" s="102" t="s">
        <v>326</v>
      </c>
      <c r="B97" s="95" t="s">
        <v>228</v>
      </c>
      <c r="C97" s="97">
        <f t="shared" ref="C97:N97" si="27">C95*C96</f>
        <v>4500</v>
      </c>
      <c r="D97" s="97">
        <f t="shared" si="27"/>
        <v>4500</v>
      </c>
      <c r="E97" s="97">
        <f t="shared" si="27"/>
        <v>4550</v>
      </c>
      <c r="F97" s="97">
        <f t="shared" si="27"/>
        <v>4550</v>
      </c>
      <c r="G97" s="97">
        <f t="shared" si="27"/>
        <v>4580</v>
      </c>
      <c r="H97" s="97">
        <f t="shared" si="27"/>
        <v>4580</v>
      </c>
      <c r="I97" s="97">
        <f t="shared" si="27"/>
        <v>4550</v>
      </c>
      <c r="J97" s="97">
        <f t="shared" si="27"/>
        <v>4550</v>
      </c>
      <c r="K97" s="97">
        <f t="shared" si="27"/>
        <v>4580</v>
      </c>
      <c r="L97" s="97">
        <f t="shared" si="27"/>
        <v>4580</v>
      </c>
      <c r="M97" s="97">
        <f t="shared" si="27"/>
        <v>4600</v>
      </c>
      <c r="N97" s="97">
        <f t="shared" si="27"/>
        <v>4600</v>
      </c>
      <c r="O97" s="2"/>
      <c r="P97" s="2"/>
      <c r="Q97" s="2"/>
      <c r="R97" s="2"/>
      <c r="S97" s="2"/>
      <c r="T97" s="2"/>
      <c r="U97" s="2"/>
      <c r="V97" s="2"/>
      <c r="W97" s="2"/>
      <c r="X97" s="2"/>
      <c r="Y97" s="134"/>
      <c r="Z97" s="2"/>
      <c r="AA97" s="2"/>
      <c r="AB97" s="2"/>
      <c r="AC97" s="2"/>
    </row>
    <row r="98" spans="1:29" ht="14">
      <c r="A98" s="102"/>
      <c r="B98" s="89" t="s">
        <v>221</v>
      </c>
      <c r="C98" s="92">
        <v>150</v>
      </c>
      <c r="D98" s="92">
        <v>150</v>
      </c>
      <c r="E98" s="92">
        <v>150</v>
      </c>
      <c r="F98" s="92">
        <v>152</v>
      </c>
      <c r="G98" s="92">
        <v>155</v>
      </c>
      <c r="H98" s="92">
        <v>155</v>
      </c>
      <c r="I98" s="92">
        <v>152</v>
      </c>
      <c r="J98" s="92">
        <v>152</v>
      </c>
      <c r="K98" s="92">
        <v>155</v>
      </c>
      <c r="L98" s="92">
        <v>155</v>
      </c>
      <c r="M98" s="92">
        <v>155</v>
      </c>
      <c r="N98" s="92">
        <v>155</v>
      </c>
      <c r="O98" s="2"/>
      <c r="P98" s="2"/>
      <c r="Q98" s="2"/>
      <c r="R98" s="2"/>
      <c r="S98" s="2"/>
      <c r="T98" s="2"/>
      <c r="U98" s="2"/>
      <c r="V98" s="2"/>
      <c r="W98" s="2"/>
      <c r="X98" s="2"/>
      <c r="Y98" s="134"/>
      <c r="Z98" s="2"/>
      <c r="AA98" s="2"/>
      <c r="AB98" s="2"/>
      <c r="AC98" s="2"/>
    </row>
    <row r="99" spans="1:29" ht="14">
      <c r="A99" s="102"/>
      <c r="B99" s="105" t="s">
        <v>276</v>
      </c>
      <c r="C99" s="120">
        <v>15</v>
      </c>
      <c r="D99" s="120">
        <v>15</v>
      </c>
      <c r="E99" s="120">
        <v>15</v>
      </c>
      <c r="F99" s="120">
        <v>15</v>
      </c>
      <c r="G99" s="120">
        <v>15</v>
      </c>
      <c r="H99" s="120">
        <v>15</v>
      </c>
      <c r="I99" s="120">
        <v>15</v>
      </c>
      <c r="J99" s="120">
        <v>15</v>
      </c>
      <c r="K99" s="120">
        <v>15</v>
      </c>
      <c r="L99" s="120">
        <v>15</v>
      </c>
      <c r="M99" s="120">
        <v>15</v>
      </c>
      <c r="N99" s="120">
        <v>15</v>
      </c>
      <c r="O99" s="2"/>
      <c r="P99" s="2"/>
      <c r="Q99" s="2"/>
      <c r="R99" s="2"/>
      <c r="S99" s="2"/>
      <c r="T99" s="2"/>
      <c r="U99" s="2"/>
      <c r="V99" s="2"/>
      <c r="W99" s="2"/>
      <c r="X99" s="2"/>
      <c r="Y99" s="134"/>
      <c r="Z99" s="2"/>
      <c r="AA99" s="2"/>
      <c r="AB99" s="2"/>
      <c r="AC99" s="2"/>
    </row>
    <row r="100" spans="1:29" ht="14">
      <c r="A100" s="102" t="s">
        <v>327</v>
      </c>
      <c r="B100" s="95" t="s">
        <v>228</v>
      </c>
      <c r="C100" s="97">
        <f t="shared" ref="C100:N100" si="28">C98*C99</f>
        <v>2250</v>
      </c>
      <c r="D100" s="97">
        <f t="shared" si="28"/>
        <v>2250</v>
      </c>
      <c r="E100" s="97">
        <f t="shared" si="28"/>
        <v>2250</v>
      </c>
      <c r="F100" s="97">
        <f t="shared" si="28"/>
        <v>2280</v>
      </c>
      <c r="G100" s="97">
        <f t="shared" si="28"/>
        <v>2325</v>
      </c>
      <c r="H100" s="97">
        <f t="shared" si="28"/>
        <v>2325</v>
      </c>
      <c r="I100" s="97">
        <f t="shared" si="28"/>
        <v>2280</v>
      </c>
      <c r="J100" s="97">
        <f t="shared" si="28"/>
        <v>2280</v>
      </c>
      <c r="K100" s="97">
        <f t="shared" si="28"/>
        <v>2325</v>
      </c>
      <c r="L100" s="97">
        <f t="shared" si="28"/>
        <v>2325</v>
      </c>
      <c r="M100" s="97">
        <f t="shared" si="28"/>
        <v>2325</v>
      </c>
      <c r="N100" s="97">
        <f t="shared" si="28"/>
        <v>2325</v>
      </c>
      <c r="O100" s="2"/>
      <c r="P100" s="2"/>
      <c r="Q100" s="2"/>
      <c r="R100" s="2"/>
      <c r="S100" s="2"/>
      <c r="T100" s="2"/>
      <c r="U100" s="2"/>
      <c r="V100" s="2"/>
      <c r="W100" s="2"/>
      <c r="X100" s="2"/>
      <c r="Y100" s="134"/>
      <c r="Z100" s="2"/>
      <c r="AA100" s="2"/>
      <c r="AB100" s="2"/>
      <c r="AC100" s="2"/>
    </row>
    <row r="101" spans="1:29" ht="14">
      <c r="A101" s="102"/>
      <c r="B101" s="89" t="s">
        <v>221</v>
      </c>
      <c r="C101" s="120">
        <v>95</v>
      </c>
      <c r="D101" s="120">
        <v>95</v>
      </c>
      <c r="E101" s="120">
        <v>95</v>
      </c>
      <c r="F101" s="120">
        <v>95</v>
      </c>
      <c r="G101" s="120">
        <v>95</v>
      </c>
      <c r="H101" s="120">
        <v>95</v>
      </c>
      <c r="I101" s="120">
        <v>95</v>
      </c>
      <c r="J101" s="120">
        <v>95</v>
      </c>
      <c r="K101" s="120">
        <v>95</v>
      </c>
      <c r="L101" s="120">
        <v>95</v>
      </c>
      <c r="M101" s="120">
        <v>95</v>
      </c>
      <c r="N101" s="120">
        <v>95</v>
      </c>
      <c r="O101" s="2"/>
      <c r="P101" s="2"/>
      <c r="Q101" s="2"/>
      <c r="R101" s="2"/>
      <c r="S101" s="2"/>
      <c r="T101" s="2"/>
      <c r="U101" s="2"/>
      <c r="V101" s="2"/>
      <c r="W101" s="2"/>
      <c r="X101" s="2"/>
      <c r="Y101" s="134"/>
      <c r="Z101" s="2"/>
      <c r="AA101" s="2"/>
      <c r="AB101" s="2"/>
      <c r="AC101" s="2"/>
    </row>
    <row r="102" spans="1:29" ht="14">
      <c r="A102" s="102"/>
      <c r="B102" s="105" t="s">
        <v>328</v>
      </c>
      <c r="C102" s="120">
        <v>20</v>
      </c>
      <c r="D102" s="120">
        <v>20</v>
      </c>
      <c r="E102" s="120">
        <v>20</v>
      </c>
      <c r="F102" s="120">
        <v>20</v>
      </c>
      <c r="G102" s="120">
        <v>20</v>
      </c>
      <c r="H102" s="120">
        <v>20</v>
      </c>
      <c r="I102" s="120">
        <v>20</v>
      </c>
      <c r="J102" s="120">
        <v>20</v>
      </c>
      <c r="K102" s="120">
        <v>20</v>
      </c>
      <c r="L102" s="120">
        <v>20</v>
      </c>
      <c r="M102" s="120">
        <v>20</v>
      </c>
      <c r="N102" s="120">
        <v>20</v>
      </c>
      <c r="O102" s="2"/>
      <c r="P102" s="2"/>
      <c r="Q102" s="2"/>
      <c r="R102" s="2"/>
      <c r="S102" s="2"/>
      <c r="T102" s="2"/>
      <c r="U102" s="2"/>
      <c r="V102" s="2"/>
      <c r="W102" s="2"/>
      <c r="X102" s="2"/>
      <c r="Y102" s="134"/>
      <c r="Z102" s="2"/>
      <c r="AA102" s="2"/>
      <c r="AB102" s="2"/>
      <c r="AC102" s="2"/>
    </row>
    <row r="103" spans="1:29" ht="14">
      <c r="A103" s="102" t="s">
        <v>329</v>
      </c>
      <c r="B103" s="95" t="s">
        <v>228</v>
      </c>
      <c r="C103" s="97">
        <f t="shared" ref="C103:N103" si="29">C101*C102</f>
        <v>1900</v>
      </c>
      <c r="D103" s="97">
        <f t="shared" si="29"/>
        <v>1900</v>
      </c>
      <c r="E103" s="97">
        <f t="shared" si="29"/>
        <v>1900</v>
      </c>
      <c r="F103" s="97">
        <f t="shared" si="29"/>
        <v>1900</v>
      </c>
      <c r="G103" s="97">
        <f t="shared" si="29"/>
        <v>1900</v>
      </c>
      <c r="H103" s="97">
        <f t="shared" si="29"/>
        <v>1900</v>
      </c>
      <c r="I103" s="97">
        <f t="shared" si="29"/>
        <v>1900</v>
      </c>
      <c r="J103" s="97">
        <f t="shared" si="29"/>
        <v>1900</v>
      </c>
      <c r="K103" s="97">
        <f t="shared" si="29"/>
        <v>1900</v>
      </c>
      <c r="L103" s="97">
        <f t="shared" si="29"/>
        <v>1900</v>
      </c>
      <c r="M103" s="97">
        <f t="shared" si="29"/>
        <v>1900</v>
      </c>
      <c r="N103" s="97">
        <f t="shared" si="29"/>
        <v>1900</v>
      </c>
      <c r="O103" s="2"/>
      <c r="P103" s="2"/>
      <c r="Q103" s="2"/>
      <c r="R103" s="2"/>
      <c r="S103" s="2"/>
      <c r="T103" s="2"/>
      <c r="U103" s="2"/>
      <c r="V103" s="2"/>
      <c r="W103" s="2"/>
      <c r="X103" s="2"/>
      <c r="Y103" s="134"/>
      <c r="Z103" s="2"/>
      <c r="AA103" s="2"/>
      <c r="AB103" s="2"/>
      <c r="AC103" s="2"/>
    </row>
    <row r="104" spans="1:29" ht="14">
      <c r="A104" s="102"/>
      <c r="B104" s="89" t="s">
        <v>221</v>
      </c>
      <c r="C104" s="92">
        <v>75</v>
      </c>
      <c r="D104" s="92">
        <v>75</v>
      </c>
      <c r="E104" s="92">
        <v>75</v>
      </c>
      <c r="F104" s="92">
        <v>75</v>
      </c>
      <c r="G104" s="92">
        <v>80</v>
      </c>
      <c r="H104" s="92">
        <v>80</v>
      </c>
      <c r="I104" s="92">
        <v>78</v>
      </c>
      <c r="J104" s="92">
        <v>78</v>
      </c>
      <c r="K104" s="92">
        <v>78</v>
      </c>
      <c r="L104" s="92">
        <v>78</v>
      </c>
      <c r="M104" s="92">
        <v>78</v>
      </c>
      <c r="N104" s="92">
        <v>78</v>
      </c>
      <c r="O104" s="2"/>
      <c r="P104" s="2"/>
      <c r="Q104" s="2"/>
      <c r="R104" s="2"/>
      <c r="S104" s="2"/>
      <c r="T104" s="2"/>
      <c r="U104" s="2"/>
      <c r="V104" s="2"/>
      <c r="W104" s="2"/>
      <c r="X104" s="2"/>
      <c r="Y104" s="134"/>
      <c r="Z104" s="2"/>
      <c r="AA104" s="2"/>
      <c r="AB104" s="2"/>
      <c r="AC104" s="2"/>
    </row>
    <row r="105" spans="1:29" ht="14">
      <c r="A105" s="102"/>
      <c r="B105" s="105" t="s">
        <v>276</v>
      </c>
      <c r="C105" s="120">
        <v>30</v>
      </c>
      <c r="D105" s="120">
        <v>30</v>
      </c>
      <c r="E105" s="120">
        <v>30</v>
      </c>
      <c r="F105" s="120">
        <v>30</v>
      </c>
      <c r="G105" s="120">
        <v>30</v>
      </c>
      <c r="H105" s="120">
        <v>30</v>
      </c>
      <c r="I105" s="120">
        <v>30</v>
      </c>
      <c r="J105" s="120">
        <v>30</v>
      </c>
      <c r="K105" s="120">
        <v>30</v>
      </c>
      <c r="L105" s="120">
        <v>30</v>
      </c>
      <c r="M105" s="120">
        <v>30</v>
      </c>
      <c r="N105" s="120">
        <v>30</v>
      </c>
      <c r="O105" s="2"/>
      <c r="P105" s="2"/>
      <c r="Q105" s="2"/>
      <c r="R105" s="2"/>
      <c r="S105" s="2"/>
      <c r="T105" s="2"/>
      <c r="U105" s="2"/>
      <c r="V105" s="2"/>
      <c r="W105" s="2"/>
      <c r="X105" s="2"/>
      <c r="Y105" s="134"/>
      <c r="Z105" s="2"/>
      <c r="AA105" s="2"/>
      <c r="AB105" s="2"/>
      <c r="AC105" s="2"/>
    </row>
    <row r="106" spans="1:29" ht="14">
      <c r="A106" s="102" t="s">
        <v>330</v>
      </c>
      <c r="B106" s="95" t="s">
        <v>228</v>
      </c>
      <c r="C106" s="97">
        <f t="shared" ref="C106:N106" si="30">C104*C105</f>
        <v>2250</v>
      </c>
      <c r="D106" s="97">
        <f t="shared" si="30"/>
        <v>2250</v>
      </c>
      <c r="E106" s="97">
        <f t="shared" si="30"/>
        <v>2250</v>
      </c>
      <c r="F106" s="97">
        <f t="shared" si="30"/>
        <v>2250</v>
      </c>
      <c r="G106" s="97">
        <f t="shared" si="30"/>
        <v>2400</v>
      </c>
      <c r="H106" s="97">
        <f t="shared" si="30"/>
        <v>2400</v>
      </c>
      <c r="I106" s="97">
        <f t="shared" si="30"/>
        <v>2340</v>
      </c>
      <c r="J106" s="97">
        <f t="shared" si="30"/>
        <v>2340</v>
      </c>
      <c r="K106" s="97">
        <f t="shared" si="30"/>
        <v>2340</v>
      </c>
      <c r="L106" s="97">
        <f t="shared" si="30"/>
        <v>2340</v>
      </c>
      <c r="M106" s="97">
        <f t="shared" si="30"/>
        <v>2340</v>
      </c>
      <c r="N106" s="97">
        <f t="shared" si="30"/>
        <v>2340</v>
      </c>
      <c r="O106" s="2"/>
      <c r="P106" s="2"/>
      <c r="Q106" s="2"/>
      <c r="R106" s="2"/>
      <c r="S106" s="2"/>
      <c r="T106" s="2"/>
      <c r="U106" s="2"/>
      <c r="V106" s="2"/>
      <c r="W106" s="2"/>
      <c r="X106" s="2"/>
      <c r="Y106" s="134"/>
      <c r="Z106" s="2"/>
      <c r="AA106" s="2"/>
      <c r="AB106" s="2"/>
      <c r="AC106" s="2"/>
    </row>
    <row r="107" spans="1:29" ht="14">
      <c r="A107" s="102"/>
      <c r="B107" s="89" t="s">
        <v>221</v>
      </c>
      <c r="C107" s="92">
        <v>95</v>
      </c>
      <c r="D107" s="92">
        <v>95</v>
      </c>
      <c r="E107" s="92">
        <v>96</v>
      </c>
      <c r="F107" s="92">
        <v>98</v>
      </c>
      <c r="G107" s="92">
        <v>98</v>
      </c>
      <c r="H107" s="92">
        <v>97</v>
      </c>
      <c r="I107" s="92">
        <v>96</v>
      </c>
      <c r="J107" s="92">
        <v>97</v>
      </c>
      <c r="K107" s="92">
        <v>97</v>
      </c>
      <c r="L107" s="92">
        <v>98</v>
      </c>
      <c r="M107" s="92">
        <v>98</v>
      </c>
      <c r="N107" s="92">
        <v>98</v>
      </c>
      <c r="O107" s="2"/>
      <c r="P107" s="2"/>
      <c r="Q107" s="2"/>
      <c r="R107" s="2"/>
      <c r="S107" s="2"/>
      <c r="T107" s="2"/>
      <c r="U107" s="2"/>
      <c r="V107" s="2"/>
      <c r="W107" s="2"/>
      <c r="X107" s="2"/>
      <c r="Y107" s="134"/>
      <c r="Z107" s="2"/>
      <c r="AA107" s="2"/>
      <c r="AB107" s="2"/>
      <c r="AC107" s="2"/>
    </row>
    <row r="108" spans="1:29" ht="28">
      <c r="A108" s="102"/>
      <c r="B108" s="135" t="s">
        <v>331</v>
      </c>
      <c r="C108" s="120">
        <v>20</v>
      </c>
      <c r="D108" s="120">
        <v>20</v>
      </c>
      <c r="E108" s="120">
        <v>20</v>
      </c>
      <c r="F108" s="120">
        <v>20</v>
      </c>
      <c r="G108" s="120">
        <v>20</v>
      </c>
      <c r="H108" s="120">
        <v>20</v>
      </c>
      <c r="I108" s="120">
        <v>20</v>
      </c>
      <c r="J108" s="120">
        <v>20</v>
      </c>
      <c r="K108" s="120">
        <v>20</v>
      </c>
      <c r="L108" s="120">
        <v>20</v>
      </c>
      <c r="M108" s="120">
        <v>20</v>
      </c>
      <c r="N108" s="120">
        <v>20</v>
      </c>
      <c r="O108" s="2"/>
      <c r="P108" s="2"/>
      <c r="Q108" s="2"/>
      <c r="R108" s="2"/>
      <c r="S108" s="2"/>
      <c r="T108" s="2"/>
      <c r="U108" s="2"/>
      <c r="V108" s="2"/>
      <c r="W108" s="2"/>
      <c r="X108" s="2"/>
      <c r="Y108" s="134"/>
      <c r="Z108" s="2"/>
      <c r="AA108" s="2"/>
      <c r="AB108" s="2"/>
      <c r="AC108" s="2"/>
    </row>
    <row r="109" spans="1:29" ht="14">
      <c r="A109" s="102" t="s">
        <v>292</v>
      </c>
      <c r="B109" s="95" t="s">
        <v>228</v>
      </c>
      <c r="C109" s="97">
        <f t="shared" ref="C109:N109" si="31">C107*C108</f>
        <v>1900</v>
      </c>
      <c r="D109" s="97">
        <f t="shared" si="31"/>
        <v>1900</v>
      </c>
      <c r="E109" s="97">
        <f t="shared" si="31"/>
        <v>1920</v>
      </c>
      <c r="F109" s="97">
        <f t="shared" si="31"/>
        <v>1960</v>
      </c>
      <c r="G109" s="97">
        <f t="shared" si="31"/>
        <v>1960</v>
      </c>
      <c r="H109" s="97">
        <f t="shared" si="31"/>
        <v>1940</v>
      </c>
      <c r="I109" s="97">
        <f t="shared" si="31"/>
        <v>1920</v>
      </c>
      <c r="J109" s="97">
        <f t="shared" si="31"/>
        <v>1940</v>
      </c>
      <c r="K109" s="97">
        <f t="shared" si="31"/>
        <v>1940</v>
      </c>
      <c r="L109" s="97">
        <f t="shared" si="31"/>
        <v>1960</v>
      </c>
      <c r="M109" s="97">
        <f t="shared" si="31"/>
        <v>1960</v>
      </c>
      <c r="N109" s="97">
        <f t="shared" si="31"/>
        <v>1960</v>
      </c>
      <c r="O109" s="2"/>
      <c r="P109" s="2"/>
      <c r="Q109" s="2"/>
      <c r="R109" s="2"/>
      <c r="S109" s="2"/>
      <c r="T109" s="2"/>
      <c r="U109" s="2"/>
      <c r="V109" s="2"/>
      <c r="W109" s="2"/>
      <c r="X109" s="2"/>
      <c r="Y109" s="134"/>
      <c r="Z109" s="2"/>
      <c r="AA109" s="2"/>
      <c r="AB109" s="2"/>
      <c r="AC109" s="2"/>
    </row>
    <row r="110" spans="1:29" ht="14">
      <c r="A110" s="102"/>
      <c r="B110" s="89" t="s">
        <v>221</v>
      </c>
      <c r="C110" s="120">
        <v>110</v>
      </c>
      <c r="D110" s="120">
        <v>110</v>
      </c>
      <c r="E110" s="120">
        <v>110</v>
      </c>
      <c r="F110" s="120">
        <v>110</v>
      </c>
      <c r="G110" s="120">
        <v>110</v>
      </c>
      <c r="H110" s="120">
        <v>110</v>
      </c>
      <c r="I110" s="120">
        <v>110</v>
      </c>
      <c r="J110" s="120">
        <v>110</v>
      </c>
      <c r="K110" s="120">
        <v>110</v>
      </c>
      <c r="L110" s="120">
        <v>110</v>
      </c>
      <c r="M110" s="120">
        <v>110</v>
      </c>
      <c r="N110" s="120">
        <v>110</v>
      </c>
      <c r="O110" s="2"/>
      <c r="P110" s="2"/>
      <c r="Q110" s="2"/>
      <c r="R110" s="2"/>
      <c r="S110" s="2"/>
      <c r="T110" s="2"/>
      <c r="U110" s="2"/>
      <c r="V110" s="2"/>
      <c r="W110" s="2"/>
      <c r="X110" s="2"/>
      <c r="Y110" s="134"/>
      <c r="Z110" s="2"/>
      <c r="AA110" s="2"/>
      <c r="AB110" s="2"/>
      <c r="AC110" s="2"/>
    </row>
    <row r="111" spans="1:29" ht="14">
      <c r="A111" s="102"/>
      <c r="B111" s="105" t="s">
        <v>332</v>
      </c>
      <c r="C111" s="120">
        <v>10</v>
      </c>
      <c r="D111" s="120">
        <v>10</v>
      </c>
      <c r="E111" s="120">
        <v>10</v>
      </c>
      <c r="F111" s="120">
        <v>10</v>
      </c>
      <c r="G111" s="120">
        <v>10</v>
      </c>
      <c r="H111" s="120">
        <v>10</v>
      </c>
      <c r="I111" s="120">
        <v>10</v>
      </c>
      <c r="J111" s="120">
        <v>10</v>
      </c>
      <c r="K111" s="120">
        <v>10</v>
      </c>
      <c r="L111" s="120">
        <v>10</v>
      </c>
      <c r="M111" s="120">
        <v>10</v>
      </c>
      <c r="N111" s="120">
        <v>10</v>
      </c>
      <c r="O111" s="2"/>
      <c r="P111" s="2"/>
      <c r="Q111" s="2"/>
      <c r="R111" s="2"/>
      <c r="S111" s="2"/>
      <c r="T111" s="2"/>
      <c r="U111" s="2"/>
      <c r="V111" s="2"/>
      <c r="W111" s="2"/>
      <c r="X111" s="2"/>
      <c r="Y111" s="134"/>
      <c r="Z111" s="2"/>
      <c r="AA111" s="2"/>
      <c r="AB111" s="2"/>
      <c r="AC111" s="2"/>
    </row>
    <row r="112" spans="1:29" ht="14">
      <c r="A112" s="102" t="s">
        <v>333</v>
      </c>
      <c r="B112" s="95" t="s">
        <v>228</v>
      </c>
      <c r="C112" s="97">
        <f t="shared" ref="C112:N112" si="32">C110*C111</f>
        <v>1100</v>
      </c>
      <c r="D112" s="97">
        <f t="shared" si="32"/>
        <v>1100</v>
      </c>
      <c r="E112" s="97">
        <f t="shared" si="32"/>
        <v>1100</v>
      </c>
      <c r="F112" s="97">
        <f t="shared" si="32"/>
        <v>1100</v>
      </c>
      <c r="G112" s="97">
        <f t="shared" si="32"/>
        <v>1100</v>
      </c>
      <c r="H112" s="97">
        <f t="shared" si="32"/>
        <v>1100</v>
      </c>
      <c r="I112" s="97">
        <f t="shared" si="32"/>
        <v>1100</v>
      </c>
      <c r="J112" s="97">
        <f t="shared" si="32"/>
        <v>1100</v>
      </c>
      <c r="K112" s="97">
        <f t="shared" si="32"/>
        <v>1100</v>
      </c>
      <c r="L112" s="97">
        <f t="shared" si="32"/>
        <v>1100</v>
      </c>
      <c r="M112" s="97">
        <f t="shared" si="32"/>
        <v>1100</v>
      </c>
      <c r="N112" s="97">
        <f t="shared" si="32"/>
        <v>1100</v>
      </c>
      <c r="O112" s="2"/>
      <c r="P112" s="2"/>
      <c r="Q112" s="2"/>
      <c r="R112" s="2"/>
      <c r="S112" s="2"/>
      <c r="T112" s="2"/>
      <c r="U112" s="2"/>
      <c r="V112" s="2"/>
      <c r="W112" s="2"/>
      <c r="X112" s="2"/>
      <c r="Y112" s="134"/>
      <c r="Z112" s="2"/>
      <c r="AA112" s="2"/>
      <c r="AB112" s="2"/>
      <c r="AC112" s="2"/>
    </row>
    <row r="113" spans="1:29" ht="14">
      <c r="A113" s="102"/>
      <c r="B113" s="89" t="s">
        <v>221</v>
      </c>
      <c r="C113" s="92">
        <v>90</v>
      </c>
      <c r="D113" s="92">
        <v>90</v>
      </c>
      <c r="E113" s="92">
        <v>90</v>
      </c>
      <c r="F113" s="92">
        <v>90</v>
      </c>
      <c r="G113" s="92">
        <v>92</v>
      </c>
      <c r="H113" s="92">
        <v>92</v>
      </c>
      <c r="I113" s="92">
        <v>90</v>
      </c>
      <c r="J113" s="92">
        <v>90</v>
      </c>
      <c r="K113" s="92">
        <v>90</v>
      </c>
      <c r="L113" s="92">
        <v>90</v>
      </c>
      <c r="M113" s="92">
        <v>90</v>
      </c>
      <c r="N113" s="92">
        <v>90</v>
      </c>
      <c r="O113" s="2"/>
      <c r="P113" s="2"/>
      <c r="Q113" s="2"/>
      <c r="R113" s="2"/>
      <c r="S113" s="2"/>
      <c r="T113" s="2"/>
      <c r="U113" s="2"/>
      <c r="V113" s="2"/>
      <c r="W113" s="2"/>
      <c r="X113" s="2"/>
      <c r="Y113" s="134"/>
      <c r="Z113" s="2"/>
      <c r="AA113" s="2"/>
      <c r="AB113" s="2"/>
      <c r="AC113" s="2"/>
    </row>
    <row r="114" spans="1:29" ht="14">
      <c r="A114" s="102"/>
      <c r="B114" s="89" t="s">
        <v>223</v>
      </c>
      <c r="C114" s="120">
        <v>8</v>
      </c>
      <c r="D114" s="120">
        <v>8</v>
      </c>
      <c r="E114" s="120">
        <v>8</v>
      </c>
      <c r="F114" s="120">
        <v>8</v>
      </c>
      <c r="G114" s="120">
        <v>8</v>
      </c>
      <c r="H114" s="120">
        <v>8</v>
      </c>
      <c r="I114" s="120">
        <v>8</v>
      </c>
      <c r="J114" s="120">
        <v>8</v>
      </c>
      <c r="K114" s="120">
        <v>8</v>
      </c>
      <c r="L114" s="120">
        <v>8</v>
      </c>
      <c r="M114" s="120">
        <v>8</v>
      </c>
      <c r="N114" s="120">
        <v>8</v>
      </c>
      <c r="O114" s="2"/>
      <c r="P114" s="2"/>
      <c r="Q114" s="2"/>
      <c r="R114" s="2"/>
      <c r="S114" s="2"/>
      <c r="T114" s="2"/>
      <c r="U114" s="2"/>
      <c r="V114" s="2"/>
      <c r="W114" s="2"/>
      <c r="X114" s="2"/>
      <c r="Y114" s="134"/>
      <c r="Z114" s="2"/>
      <c r="AA114" s="2"/>
      <c r="AB114" s="2"/>
      <c r="AC114" s="2"/>
    </row>
    <row r="115" spans="1:29" ht="14">
      <c r="A115" s="102" t="s">
        <v>334</v>
      </c>
      <c r="B115" s="95" t="s">
        <v>228</v>
      </c>
      <c r="C115" s="97">
        <f t="shared" ref="C115:N115" si="33">C113*C114</f>
        <v>720</v>
      </c>
      <c r="D115" s="97">
        <f t="shared" si="33"/>
        <v>720</v>
      </c>
      <c r="E115" s="97">
        <f t="shared" si="33"/>
        <v>720</v>
      </c>
      <c r="F115" s="97">
        <f t="shared" si="33"/>
        <v>720</v>
      </c>
      <c r="G115" s="97">
        <f t="shared" si="33"/>
        <v>736</v>
      </c>
      <c r="H115" s="97">
        <f t="shared" si="33"/>
        <v>736</v>
      </c>
      <c r="I115" s="97">
        <f t="shared" si="33"/>
        <v>720</v>
      </c>
      <c r="J115" s="97">
        <f t="shared" si="33"/>
        <v>720</v>
      </c>
      <c r="K115" s="97">
        <f t="shared" si="33"/>
        <v>720</v>
      </c>
      <c r="L115" s="97">
        <f t="shared" si="33"/>
        <v>720</v>
      </c>
      <c r="M115" s="97">
        <f t="shared" si="33"/>
        <v>720</v>
      </c>
      <c r="N115" s="97">
        <f t="shared" si="33"/>
        <v>720</v>
      </c>
      <c r="O115" s="2"/>
      <c r="P115" s="2"/>
      <c r="Q115" s="2"/>
      <c r="R115" s="2"/>
      <c r="S115" s="2"/>
      <c r="T115" s="2"/>
      <c r="U115" s="2"/>
      <c r="V115" s="2"/>
      <c r="W115" s="2"/>
      <c r="X115" s="2"/>
      <c r="Y115" s="134"/>
      <c r="Z115" s="2"/>
      <c r="AA115" s="2"/>
      <c r="AB115" s="2"/>
      <c r="AC115" s="2"/>
    </row>
    <row r="116" spans="1:29" ht="14">
      <c r="A116" s="102"/>
      <c r="B116" s="89" t="s">
        <v>221</v>
      </c>
      <c r="C116" s="120">
        <v>90</v>
      </c>
      <c r="D116" s="120">
        <v>90</v>
      </c>
      <c r="E116" s="120">
        <v>90</v>
      </c>
      <c r="F116" s="120">
        <v>90</v>
      </c>
      <c r="G116" s="120">
        <v>90</v>
      </c>
      <c r="H116" s="120">
        <v>90</v>
      </c>
      <c r="I116" s="120">
        <v>90</v>
      </c>
      <c r="J116" s="120">
        <v>90</v>
      </c>
      <c r="K116" s="120">
        <v>90</v>
      </c>
      <c r="L116" s="120">
        <v>90</v>
      </c>
      <c r="M116" s="120">
        <v>90</v>
      </c>
      <c r="N116" s="120">
        <v>90</v>
      </c>
      <c r="O116" s="2"/>
      <c r="P116" s="2"/>
      <c r="Q116" s="2"/>
      <c r="R116" s="2"/>
      <c r="S116" s="2"/>
      <c r="T116" s="2"/>
      <c r="U116" s="2"/>
      <c r="V116" s="2"/>
      <c r="W116" s="2"/>
      <c r="X116" s="2"/>
      <c r="Y116" s="134"/>
      <c r="Z116" s="2"/>
      <c r="AA116" s="2"/>
      <c r="AB116" s="2"/>
      <c r="AC116" s="2"/>
    </row>
    <row r="117" spans="1:29" ht="14">
      <c r="A117" s="102"/>
      <c r="B117" s="89" t="s">
        <v>223</v>
      </c>
      <c r="C117" s="120">
        <v>8</v>
      </c>
      <c r="D117" s="120">
        <v>8</v>
      </c>
      <c r="E117" s="120">
        <v>8</v>
      </c>
      <c r="F117" s="120">
        <v>8</v>
      </c>
      <c r="G117" s="120">
        <v>8</v>
      </c>
      <c r="H117" s="120">
        <v>8</v>
      </c>
      <c r="I117" s="120">
        <v>8</v>
      </c>
      <c r="J117" s="120">
        <v>8</v>
      </c>
      <c r="K117" s="120">
        <v>8</v>
      </c>
      <c r="L117" s="120">
        <v>8</v>
      </c>
      <c r="M117" s="120">
        <v>8</v>
      </c>
      <c r="N117" s="120">
        <v>8</v>
      </c>
      <c r="O117" s="2"/>
      <c r="P117" s="2"/>
      <c r="Q117" s="2"/>
      <c r="R117" s="2"/>
      <c r="S117" s="2"/>
      <c r="T117" s="2"/>
      <c r="U117" s="2"/>
      <c r="V117" s="2"/>
      <c r="W117" s="2"/>
      <c r="X117" s="2"/>
      <c r="Y117" s="134"/>
      <c r="Z117" s="2"/>
      <c r="AA117" s="2"/>
      <c r="AB117" s="2"/>
      <c r="AC117" s="2"/>
    </row>
    <row r="118" spans="1:29" ht="14">
      <c r="A118" s="102" t="s">
        <v>335</v>
      </c>
      <c r="B118" s="95" t="s">
        <v>228</v>
      </c>
      <c r="C118" s="97">
        <f t="shared" ref="C118:N118" si="34">C116*C117</f>
        <v>720</v>
      </c>
      <c r="D118" s="97">
        <f t="shared" si="34"/>
        <v>720</v>
      </c>
      <c r="E118" s="97">
        <f t="shared" si="34"/>
        <v>720</v>
      </c>
      <c r="F118" s="97">
        <f t="shared" si="34"/>
        <v>720</v>
      </c>
      <c r="G118" s="97">
        <f t="shared" si="34"/>
        <v>720</v>
      </c>
      <c r="H118" s="97">
        <f t="shared" si="34"/>
        <v>720</v>
      </c>
      <c r="I118" s="97">
        <f t="shared" si="34"/>
        <v>720</v>
      </c>
      <c r="J118" s="97">
        <f t="shared" si="34"/>
        <v>720</v>
      </c>
      <c r="K118" s="97">
        <f t="shared" si="34"/>
        <v>720</v>
      </c>
      <c r="L118" s="97">
        <f t="shared" si="34"/>
        <v>720</v>
      </c>
      <c r="M118" s="97">
        <f t="shared" si="34"/>
        <v>720</v>
      </c>
      <c r="N118" s="97">
        <f t="shared" si="34"/>
        <v>720</v>
      </c>
      <c r="O118" s="2"/>
      <c r="P118" s="2"/>
      <c r="Q118" s="2"/>
      <c r="R118" s="2"/>
      <c r="S118" s="2"/>
      <c r="T118" s="2"/>
      <c r="U118" s="2"/>
      <c r="V118" s="2"/>
      <c r="W118" s="2"/>
      <c r="X118" s="2"/>
      <c r="Y118" s="134"/>
      <c r="Z118" s="2"/>
      <c r="AA118" s="2"/>
      <c r="AB118" s="2"/>
      <c r="AC118" s="2"/>
    </row>
    <row r="119" spans="1:29" ht="14">
      <c r="A119" s="102"/>
      <c r="B119" s="89" t="s">
        <v>221</v>
      </c>
      <c r="C119" s="120">
        <v>80</v>
      </c>
      <c r="D119" s="120">
        <v>80</v>
      </c>
      <c r="E119" s="120">
        <v>80</v>
      </c>
      <c r="F119" s="120">
        <v>80</v>
      </c>
      <c r="G119" s="120">
        <v>80</v>
      </c>
      <c r="H119" s="120">
        <v>80</v>
      </c>
      <c r="I119" s="120">
        <v>80</v>
      </c>
      <c r="J119" s="120">
        <v>80</v>
      </c>
      <c r="K119" s="120">
        <v>80</v>
      </c>
      <c r="L119" s="120">
        <v>80</v>
      </c>
      <c r="M119" s="120">
        <v>80</v>
      </c>
      <c r="N119" s="120">
        <v>80</v>
      </c>
      <c r="O119" s="2"/>
      <c r="P119" s="2"/>
      <c r="Q119" s="2"/>
      <c r="R119" s="2"/>
      <c r="S119" s="2"/>
      <c r="T119" s="2"/>
      <c r="U119" s="2"/>
      <c r="V119" s="2"/>
      <c r="W119" s="2"/>
      <c r="X119" s="2"/>
      <c r="Y119" s="134"/>
      <c r="Z119" s="2"/>
      <c r="AA119" s="2"/>
      <c r="AB119" s="2"/>
      <c r="AC119" s="2"/>
    </row>
    <row r="120" spans="1:29" ht="14">
      <c r="A120" s="102"/>
      <c r="B120" s="89" t="s">
        <v>223</v>
      </c>
      <c r="C120" s="120">
        <v>15</v>
      </c>
      <c r="D120" s="120">
        <v>15</v>
      </c>
      <c r="E120" s="120">
        <v>15</v>
      </c>
      <c r="F120" s="120">
        <v>15</v>
      </c>
      <c r="G120" s="120">
        <v>15</v>
      </c>
      <c r="H120" s="120">
        <v>15</v>
      </c>
      <c r="I120" s="120">
        <v>15</v>
      </c>
      <c r="J120" s="120">
        <v>15</v>
      </c>
      <c r="K120" s="120">
        <v>15</v>
      </c>
      <c r="L120" s="120">
        <v>15</v>
      </c>
      <c r="M120" s="120">
        <v>15</v>
      </c>
      <c r="N120" s="120">
        <v>15</v>
      </c>
      <c r="O120" s="2"/>
      <c r="P120" s="2"/>
      <c r="Q120" s="2"/>
      <c r="R120" s="2"/>
      <c r="S120" s="2"/>
      <c r="T120" s="2"/>
      <c r="U120" s="2"/>
      <c r="V120" s="2"/>
      <c r="W120" s="2"/>
      <c r="X120" s="2"/>
      <c r="Y120" s="134"/>
      <c r="Z120" s="2"/>
      <c r="AA120" s="2"/>
      <c r="AB120" s="2"/>
      <c r="AC120" s="2"/>
    </row>
    <row r="121" spans="1:29" ht="14">
      <c r="A121" s="102" t="s">
        <v>336</v>
      </c>
      <c r="B121" s="95" t="s">
        <v>228</v>
      </c>
      <c r="C121" s="97">
        <f t="shared" ref="C121:N121" si="35">C119*C120</f>
        <v>1200</v>
      </c>
      <c r="D121" s="97">
        <f t="shared" si="35"/>
        <v>1200</v>
      </c>
      <c r="E121" s="97">
        <f t="shared" si="35"/>
        <v>1200</v>
      </c>
      <c r="F121" s="97">
        <f t="shared" si="35"/>
        <v>1200</v>
      </c>
      <c r="G121" s="97">
        <f t="shared" si="35"/>
        <v>1200</v>
      </c>
      <c r="H121" s="97">
        <f t="shared" si="35"/>
        <v>1200</v>
      </c>
      <c r="I121" s="97">
        <f t="shared" si="35"/>
        <v>1200</v>
      </c>
      <c r="J121" s="97">
        <f t="shared" si="35"/>
        <v>1200</v>
      </c>
      <c r="K121" s="97">
        <f t="shared" si="35"/>
        <v>1200</v>
      </c>
      <c r="L121" s="97">
        <f t="shared" si="35"/>
        <v>1200</v>
      </c>
      <c r="M121" s="97">
        <f t="shared" si="35"/>
        <v>1200</v>
      </c>
      <c r="N121" s="97">
        <f t="shared" si="35"/>
        <v>1200</v>
      </c>
      <c r="O121" s="2"/>
      <c r="P121" s="2"/>
      <c r="Q121" s="2"/>
      <c r="R121" s="2"/>
      <c r="S121" s="2"/>
      <c r="T121" s="2"/>
      <c r="U121" s="2"/>
      <c r="V121" s="2"/>
      <c r="W121" s="2"/>
      <c r="X121" s="2"/>
      <c r="Y121" s="134"/>
      <c r="Z121" s="2"/>
      <c r="AA121" s="2"/>
      <c r="AB121" s="2"/>
      <c r="AC121" s="2"/>
    </row>
    <row r="122" spans="1:29" ht="14">
      <c r="A122" s="102"/>
      <c r="B122" s="89" t="s">
        <v>221</v>
      </c>
      <c r="C122" s="120">
        <v>80</v>
      </c>
      <c r="D122" s="120">
        <v>80</v>
      </c>
      <c r="E122" s="120">
        <v>80</v>
      </c>
      <c r="F122" s="120">
        <v>80</v>
      </c>
      <c r="G122" s="120">
        <v>80</v>
      </c>
      <c r="H122" s="120">
        <v>80</v>
      </c>
      <c r="I122" s="120">
        <v>80</v>
      </c>
      <c r="J122" s="120">
        <v>80</v>
      </c>
      <c r="K122" s="120">
        <v>80</v>
      </c>
      <c r="L122" s="120">
        <v>80</v>
      </c>
      <c r="M122" s="120">
        <v>80</v>
      </c>
      <c r="N122" s="120">
        <v>80</v>
      </c>
      <c r="O122" s="2"/>
      <c r="P122" s="2"/>
      <c r="Q122" s="2"/>
      <c r="R122" s="2"/>
      <c r="S122" s="2"/>
      <c r="T122" s="2"/>
      <c r="U122" s="2"/>
      <c r="V122" s="2"/>
      <c r="W122" s="2"/>
      <c r="X122" s="2"/>
      <c r="Y122" s="134"/>
      <c r="Z122" s="2"/>
      <c r="AA122" s="2"/>
      <c r="AB122" s="2"/>
      <c r="AC122" s="2"/>
    </row>
    <row r="123" spans="1:29" ht="14">
      <c r="A123" s="102"/>
      <c r="B123" s="89" t="s">
        <v>223</v>
      </c>
      <c r="C123" s="120">
        <v>8</v>
      </c>
      <c r="D123" s="120">
        <v>8</v>
      </c>
      <c r="E123" s="120">
        <v>8</v>
      </c>
      <c r="F123" s="120">
        <v>8</v>
      </c>
      <c r="G123" s="120">
        <v>8</v>
      </c>
      <c r="H123" s="120">
        <v>8</v>
      </c>
      <c r="I123" s="120">
        <v>8</v>
      </c>
      <c r="J123" s="120">
        <v>8</v>
      </c>
      <c r="K123" s="120">
        <v>8</v>
      </c>
      <c r="L123" s="120">
        <v>8</v>
      </c>
      <c r="M123" s="120">
        <v>8</v>
      </c>
      <c r="N123" s="120">
        <v>8</v>
      </c>
      <c r="O123" s="2"/>
      <c r="P123" s="2"/>
      <c r="Q123" s="2"/>
      <c r="R123" s="2"/>
      <c r="S123" s="2"/>
      <c r="T123" s="2"/>
      <c r="U123" s="2"/>
      <c r="V123" s="2"/>
      <c r="W123" s="2"/>
      <c r="X123" s="2"/>
      <c r="Y123" s="134"/>
      <c r="Z123" s="2"/>
      <c r="AA123" s="2"/>
      <c r="AB123" s="2"/>
      <c r="AC123" s="2"/>
    </row>
    <row r="124" spans="1:29" ht="14">
      <c r="A124" s="102" t="s">
        <v>337</v>
      </c>
      <c r="B124" s="95" t="s">
        <v>228</v>
      </c>
      <c r="C124" s="97">
        <f t="shared" ref="C124:N124" si="36">C122*C123</f>
        <v>640</v>
      </c>
      <c r="D124" s="97">
        <f t="shared" si="36"/>
        <v>640</v>
      </c>
      <c r="E124" s="97">
        <f t="shared" si="36"/>
        <v>640</v>
      </c>
      <c r="F124" s="97">
        <f t="shared" si="36"/>
        <v>640</v>
      </c>
      <c r="G124" s="97">
        <f t="shared" si="36"/>
        <v>640</v>
      </c>
      <c r="H124" s="97">
        <f t="shared" si="36"/>
        <v>640</v>
      </c>
      <c r="I124" s="97">
        <f t="shared" si="36"/>
        <v>640</v>
      </c>
      <c r="J124" s="97">
        <f t="shared" si="36"/>
        <v>640</v>
      </c>
      <c r="K124" s="97">
        <f t="shared" si="36"/>
        <v>640</v>
      </c>
      <c r="L124" s="97">
        <f t="shared" si="36"/>
        <v>640</v>
      </c>
      <c r="M124" s="97">
        <f t="shared" si="36"/>
        <v>640</v>
      </c>
      <c r="N124" s="97">
        <f t="shared" si="36"/>
        <v>640</v>
      </c>
      <c r="O124" s="2"/>
      <c r="P124" s="2"/>
      <c r="Q124" s="2"/>
      <c r="R124" s="2"/>
      <c r="S124" s="2"/>
      <c r="T124" s="2"/>
      <c r="U124" s="2"/>
      <c r="V124" s="2"/>
      <c r="W124" s="2"/>
      <c r="X124" s="2"/>
      <c r="Y124" s="134"/>
      <c r="Z124" s="2"/>
      <c r="AA124" s="2"/>
      <c r="AB124" s="2"/>
      <c r="AC124" s="2"/>
    </row>
    <row r="125" spans="1:29" ht="14">
      <c r="A125" s="102"/>
      <c r="B125" s="89" t="s">
        <v>221</v>
      </c>
      <c r="C125" s="120">
        <v>120</v>
      </c>
      <c r="D125" s="120">
        <v>120</v>
      </c>
      <c r="E125" s="120">
        <v>120</v>
      </c>
      <c r="F125" s="120">
        <v>120</v>
      </c>
      <c r="G125" s="120">
        <v>120</v>
      </c>
      <c r="H125" s="120">
        <v>120</v>
      </c>
      <c r="I125" s="120">
        <v>120</v>
      </c>
      <c r="J125" s="120">
        <v>120</v>
      </c>
      <c r="K125" s="120">
        <v>120</v>
      </c>
      <c r="L125" s="120">
        <v>120</v>
      </c>
      <c r="M125" s="120">
        <v>120</v>
      </c>
      <c r="N125" s="120">
        <v>120</v>
      </c>
      <c r="O125" s="2"/>
      <c r="P125" s="2"/>
      <c r="Q125" s="2"/>
      <c r="R125" s="2"/>
      <c r="S125" s="2"/>
      <c r="T125" s="2"/>
      <c r="U125" s="2"/>
      <c r="V125" s="2"/>
      <c r="W125" s="2"/>
      <c r="X125" s="2"/>
      <c r="Y125" s="134"/>
      <c r="Z125" s="2"/>
      <c r="AA125" s="2"/>
      <c r="AB125" s="2"/>
      <c r="AC125" s="2"/>
    </row>
    <row r="126" spans="1:29" ht="14">
      <c r="A126" s="102"/>
      <c r="B126" s="105" t="s">
        <v>338</v>
      </c>
      <c r="C126" s="120">
        <v>6</v>
      </c>
      <c r="D126" s="120">
        <v>6</v>
      </c>
      <c r="E126" s="120">
        <v>6</v>
      </c>
      <c r="F126" s="120">
        <v>6</v>
      </c>
      <c r="G126" s="120">
        <v>6</v>
      </c>
      <c r="H126" s="120">
        <v>6</v>
      </c>
      <c r="I126" s="120">
        <v>6</v>
      </c>
      <c r="J126" s="120">
        <v>6</v>
      </c>
      <c r="K126" s="120">
        <v>6</v>
      </c>
      <c r="L126" s="120">
        <v>6</v>
      </c>
      <c r="M126" s="120">
        <v>6</v>
      </c>
      <c r="N126" s="120">
        <v>6</v>
      </c>
      <c r="O126" s="2"/>
      <c r="P126" s="2"/>
      <c r="Q126" s="2"/>
      <c r="R126" s="2"/>
      <c r="S126" s="2"/>
      <c r="T126" s="2"/>
      <c r="U126" s="2"/>
      <c r="V126" s="2"/>
      <c r="W126" s="2"/>
      <c r="X126" s="2"/>
      <c r="Y126" s="134"/>
      <c r="Z126" s="2"/>
      <c r="AA126" s="2"/>
      <c r="AB126" s="2"/>
      <c r="AC126" s="2"/>
    </row>
    <row r="127" spans="1:29" ht="14">
      <c r="A127" s="102" t="s">
        <v>339</v>
      </c>
      <c r="B127" s="95" t="s">
        <v>228</v>
      </c>
      <c r="C127" s="97">
        <f t="shared" ref="C127:N127" si="37">C125*C126</f>
        <v>720</v>
      </c>
      <c r="D127" s="97">
        <f t="shared" si="37"/>
        <v>720</v>
      </c>
      <c r="E127" s="97">
        <f t="shared" si="37"/>
        <v>720</v>
      </c>
      <c r="F127" s="97">
        <f t="shared" si="37"/>
        <v>720</v>
      </c>
      <c r="G127" s="97">
        <f t="shared" si="37"/>
        <v>720</v>
      </c>
      <c r="H127" s="97">
        <f t="shared" si="37"/>
        <v>720</v>
      </c>
      <c r="I127" s="97">
        <f t="shared" si="37"/>
        <v>720</v>
      </c>
      <c r="J127" s="97">
        <f t="shared" si="37"/>
        <v>720</v>
      </c>
      <c r="K127" s="97">
        <f t="shared" si="37"/>
        <v>720</v>
      </c>
      <c r="L127" s="97">
        <f t="shared" si="37"/>
        <v>720</v>
      </c>
      <c r="M127" s="97">
        <f t="shared" si="37"/>
        <v>720</v>
      </c>
      <c r="N127" s="97">
        <f t="shared" si="37"/>
        <v>720</v>
      </c>
      <c r="O127" s="2"/>
      <c r="P127" s="2"/>
      <c r="Q127" s="2"/>
      <c r="R127" s="2"/>
      <c r="S127" s="2"/>
      <c r="T127" s="2"/>
      <c r="U127" s="2"/>
      <c r="V127" s="2"/>
      <c r="W127" s="2"/>
      <c r="X127" s="2"/>
      <c r="Y127" s="134"/>
      <c r="Z127" s="2"/>
      <c r="AA127" s="2"/>
      <c r="AB127" s="2"/>
      <c r="AC127" s="2"/>
    </row>
    <row r="128" spans="1:29" ht="14">
      <c r="A128" s="102"/>
      <c r="B128" s="89" t="s">
        <v>221</v>
      </c>
      <c r="C128" s="92">
        <v>220</v>
      </c>
      <c r="D128" s="92">
        <v>220</v>
      </c>
      <c r="E128" s="92">
        <v>222</v>
      </c>
      <c r="F128" s="92">
        <v>222</v>
      </c>
      <c r="G128" s="92">
        <v>225</v>
      </c>
      <c r="H128" s="92">
        <v>225</v>
      </c>
      <c r="I128" s="92">
        <v>222</v>
      </c>
      <c r="J128" s="92">
        <v>222</v>
      </c>
      <c r="K128" s="92">
        <v>225</v>
      </c>
      <c r="L128" s="92">
        <v>225</v>
      </c>
      <c r="M128" s="92">
        <v>225</v>
      </c>
      <c r="N128" s="92">
        <v>225</v>
      </c>
      <c r="O128" s="2"/>
      <c r="P128" s="2"/>
      <c r="Q128" s="2"/>
      <c r="R128" s="2"/>
      <c r="S128" s="2"/>
      <c r="T128" s="2"/>
      <c r="U128" s="2"/>
      <c r="V128" s="2"/>
      <c r="W128" s="2"/>
      <c r="X128" s="2"/>
      <c r="Y128" s="134"/>
      <c r="Z128" s="2"/>
      <c r="AA128" s="2"/>
      <c r="AB128" s="2"/>
      <c r="AC128" s="2"/>
    </row>
    <row r="129" spans="1:29" ht="14">
      <c r="A129" s="102"/>
      <c r="B129" s="89" t="s">
        <v>223</v>
      </c>
      <c r="C129" s="120">
        <v>10</v>
      </c>
      <c r="D129" s="120">
        <v>10</v>
      </c>
      <c r="E129" s="120">
        <v>10</v>
      </c>
      <c r="F129" s="120">
        <v>10</v>
      </c>
      <c r="G129" s="120">
        <v>10</v>
      </c>
      <c r="H129" s="120">
        <v>10</v>
      </c>
      <c r="I129" s="120">
        <v>10</v>
      </c>
      <c r="J129" s="120">
        <v>10</v>
      </c>
      <c r="K129" s="120">
        <v>10</v>
      </c>
      <c r="L129" s="120">
        <v>10</v>
      </c>
      <c r="M129" s="120">
        <v>10</v>
      </c>
      <c r="N129" s="120">
        <v>10</v>
      </c>
      <c r="O129" s="2"/>
      <c r="P129" s="2"/>
      <c r="Q129" s="2"/>
      <c r="R129" s="2"/>
      <c r="S129" s="2"/>
      <c r="T129" s="2"/>
      <c r="U129" s="2"/>
      <c r="V129" s="2"/>
      <c r="W129" s="2"/>
      <c r="X129" s="2"/>
      <c r="Y129" s="134"/>
      <c r="Z129" s="2"/>
      <c r="AA129" s="2"/>
      <c r="AB129" s="2"/>
      <c r="AC129" s="2"/>
    </row>
    <row r="130" spans="1:29" ht="14">
      <c r="A130" s="102" t="s">
        <v>340</v>
      </c>
      <c r="B130" s="95" t="s">
        <v>228</v>
      </c>
      <c r="C130" s="97">
        <f t="shared" ref="C130:N130" si="38">C128*C129</f>
        <v>2200</v>
      </c>
      <c r="D130" s="97">
        <f t="shared" si="38"/>
        <v>2200</v>
      </c>
      <c r="E130" s="97">
        <f t="shared" si="38"/>
        <v>2220</v>
      </c>
      <c r="F130" s="97">
        <f t="shared" si="38"/>
        <v>2220</v>
      </c>
      <c r="G130" s="97">
        <f t="shared" si="38"/>
        <v>2250</v>
      </c>
      <c r="H130" s="97">
        <f t="shared" si="38"/>
        <v>2250</v>
      </c>
      <c r="I130" s="97">
        <f t="shared" si="38"/>
        <v>2220</v>
      </c>
      <c r="J130" s="97">
        <f t="shared" si="38"/>
        <v>2220</v>
      </c>
      <c r="K130" s="97">
        <f t="shared" si="38"/>
        <v>2250</v>
      </c>
      <c r="L130" s="97">
        <f t="shared" si="38"/>
        <v>2250</v>
      </c>
      <c r="M130" s="97">
        <f t="shared" si="38"/>
        <v>2250</v>
      </c>
      <c r="N130" s="97">
        <f t="shared" si="38"/>
        <v>2250</v>
      </c>
      <c r="O130" s="2"/>
      <c r="P130" s="2"/>
      <c r="Q130" s="2"/>
      <c r="R130" s="2"/>
      <c r="S130" s="2"/>
      <c r="T130" s="2"/>
      <c r="U130" s="2"/>
      <c r="V130" s="2"/>
      <c r="W130" s="2"/>
      <c r="X130" s="2"/>
      <c r="Y130" s="134"/>
      <c r="Z130" s="2"/>
      <c r="AA130" s="2"/>
      <c r="AB130" s="2"/>
      <c r="AC130" s="2"/>
    </row>
    <row r="131" spans="1:29" ht="14">
      <c r="A131" s="102"/>
      <c r="B131" s="89" t="s">
        <v>221</v>
      </c>
      <c r="C131" s="92">
        <v>45</v>
      </c>
      <c r="D131" s="92">
        <v>45</v>
      </c>
      <c r="E131" s="92">
        <v>45</v>
      </c>
      <c r="F131" s="92">
        <v>45</v>
      </c>
      <c r="G131" s="92">
        <v>48</v>
      </c>
      <c r="H131" s="92">
        <v>48</v>
      </c>
      <c r="I131" s="92">
        <v>45</v>
      </c>
      <c r="J131" s="92">
        <v>45</v>
      </c>
      <c r="K131" s="92">
        <v>45</v>
      </c>
      <c r="L131" s="92">
        <v>45</v>
      </c>
      <c r="M131" s="92">
        <v>45</v>
      </c>
      <c r="N131" s="92">
        <v>45</v>
      </c>
      <c r="O131" s="2"/>
      <c r="P131" s="2"/>
      <c r="Q131" s="2"/>
      <c r="R131" s="2"/>
      <c r="S131" s="2"/>
      <c r="T131" s="2"/>
      <c r="U131" s="2"/>
      <c r="V131" s="2"/>
      <c r="W131" s="2"/>
      <c r="X131" s="2"/>
      <c r="Y131" s="134"/>
      <c r="Z131" s="2"/>
      <c r="AA131" s="2"/>
      <c r="AB131" s="2"/>
      <c r="AC131" s="2"/>
    </row>
    <row r="132" spans="1:29" ht="14">
      <c r="A132" s="102"/>
      <c r="B132" s="105" t="s">
        <v>341</v>
      </c>
      <c r="C132" s="120">
        <v>20</v>
      </c>
      <c r="D132" s="120">
        <v>20</v>
      </c>
      <c r="E132" s="120">
        <v>20</v>
      </c>
      <c r="F132" s="120">
        <v>20</v>
      </c>
      <c r="G132" s="120">
        <v>20</v>
      </c>
      <c r="H132" s="120">
        <v>20</v>
      </c>
      <c r="I132" s="120">
        <v>20</v>
      </c>
      <c r="J132" s="120">
        <v>20</v>
      </c>
      <c r="K132" s="120">
        <v>20</v>
      </c>
      <c r="L132" s="120">
        <v>20</v>
      </c>
      <c r="M132" s="120">
        <v>20</v>
      </c>
      <c r="N132" s="120">
        <v>20</v>
      </c>
      <c r="O132" s="2"/>
      <c r="P132" s="2"/>
      <c r="Q132" s="2"/>
      <c r="R132" s="2"/>
      <c r="S132" s="2"/>
      <c r="T132" s="2"/>
      <c r="U132" s="2"/>
      <c r="V132" s="2"/>
      <c r="W132" s="2"/>
      <c r="X132" s="2"/>
      <c r="Y132" s="134"/>
      <c r="Z132" s="2"/>
      <c r="AA132" s="2"/>
      <c r="AB132" s="2"/>
      <c r="AC132" s="2"/>
    </row>
    <row r="133" spans="1:29" ht="14">
      <c r="A133" s="102" t="s">
        <v>342</v>
      </c>
      <c r="B133" s="95" t="s">
        <v>228</v>
      </c>
      <c r="C133" s="97">
        <f t="shared" ref="C133:N133" si="39">C131*C132</f>
        <v>900</v>
      </c>
      <c r="D133" s="97">
        <f t="shared" si="39"/>
        <v>900</v>
      </c>
      <c r="E133" s="97">
        <f t="shared" si="39"/>
        <v>900</v>
      </c>
      <c r="F133" s="97">
        <f t="shared" si="39"/>
        <v>900</v>
      </c>
      <c r="G133" s="97">
        <f t="shared" si="39"/>
        <v>960</v>
      </c>
      <c r="H133" s="97">
        <f t="shared" si="39"/>
        <v>960</v>
      </c>
      <c r="I133" s="97">
        <f t="shared" si="39"/>
        <v>900</v>
      </c>
      <c r="J133" s="97">
        <f t="shared" si="39"/>
        <v>900</v>
      </c>
      <c r="K133" s="97">
        <f t="shared" si="39"/>
        <v>900</v>
      </c>
      <c r="L133" s="97">
        <f t="shared" si="39"/>
        <v>900</v>
      </c>
      <c r="M133" s="97">
        <f t="shared" si="39"/>
        <v>900</v>
      </c>
      <c r="N133" s="97">
        <f t="shared" si="39"/>
        <v>900</v>
      </c>
      <c r="O133" s="2"/>
      <c r="P133" s="2"/>
      <c r="Q133" s="2"/>
      <c r="R133" s="2"/>
      <c r="S133" s="2"/>
      <c r="T133" s="2"/>
      <c r="U133" s="2"/>
      <c r="V133" s="2"/>
      <c r="W133" s="2"/>
      <c r="X133" s="2"/>
      <c r="Y133" s="134"/>
      <c r="Z133" s="2"/>
      <c r="AA133" s="2"/>
      <c r="AB133" s="2"/>
      <c r="AC133" s="2"/>
    </row>
    <row r="134" spans="1:29" ht="14">
      <c r="A134" s="102"/>
      <c r="B134" s="89" t="s">
        <v>221</v>
      </c>
      <c r="C134" s="120">
        <v>120</v>
      </c>
      <c r="D134" s="120">
        <v>120</v>
      </c>
      <c r="E134" s="120">
        <v>120</v>
      </c>
      <c r="F134" s="120">
        <v>120</v>
      </c>
      <c r="G134" s="120">
        <v>120</v>
      </c>
      <c r="H134" s="120">
        <v>120</v>
      </c>
      <c r="I134" s="120">
        <v>120</v>
      </c>
      <c r="J134" s="120">
        <v>120</v>
      </c>
      <c r="K134" s="120">
        <v>120</v>
      </c>
      <c r="L134" s="120">
        <v>120</v>
      </c>
      <c r="M134" s="120">
        <v>120</v>
      </c>
      <c r="N134" s="120">
        <v>120</v>
      </c>
      <c r="O134" s="2"/>
      <c r="P134" s="2"/>
      <c r="Q134" s="2"/>
      <c r="R134" s="2"/>
      <c r="S134" s="2"/>
      <c r="T134" s="2"/>
      <c r="U134" s="2"/>
      <c r="V134" s="2"/>
      <c r="W134" s="2"/>
      <c r="X134" s="2"/>
      <c r="Y134" s="134"/>
      <c r="Z134" s="2"/>
      <c r="AA134" s="2"/>
      <c r="AB134" s="2"/>
      <c r="AC134" s="2"/>
    </row>
    <row r="135" spans="1:29" ht="14">
      <c r="A135" s="102"/>
      <c r="B135" s="105" t="s">
        <v>343</v>
      </c>
      <c r="C135" s="120">
        <v>6</v>
      </c>
      <c r="D135" s="120">
        <v>6</v>
      </c>
      <c r="E135" s="120">
        <v>6</v>
      </c>
      <c r="F135" s="120">
        <v>6</v>
      </c>
      <c r="G135" s="120">
        <v>6</v>
      </c>
      <c r="H135" s="120">
        <v>6</v>
      </c>
      <c r="I135" s="120">
        <v>6</v>
      </c>
      <c r="J135" s="120">
        <v>6</v>
      </c>
      <c r="K135" s="120">
        <v>6</v>
      </c>
      <c r="L135" s="120">
        <v>6</v>
      </c>
      <c r="M135" s="120">
        <v>6</v>
      </c>
      <c r="N135" s="120">
        <v>6</v>
      </c>
      <c r="O135" s="2"/>
      <c r="P135" s="2"/>
      <c r="Q135" s="2"/>
      <c r="R135" s="2"/>
      <c r="S135" s="2"/>
      <c r="T135" s="2"/>
      <c r="U135" s="2"/>
      <c r="V135" s="2"/>
      <c r="W135" s="2"/>
      <c r="X135" s="2"/>
      <c r="Y135" s="134"/>
      <c r="Z135" s="2"/>
      <c r="AA135" s="2"/>
      <c r="AB135" s="2"/>
      <c r="AC135" s="2"/>
    </row>
    <row r="136" spans="1:29" ht="14">
      <c r="A136" s="102" t="s">
        <v>344</v>
      </c>
      <c r="B136" s="95" t="s">
        <v>228</v>
      </c>
      <c r="C136" s="97">
        <f t="shared" ref="C136:N136" si="40">C134*C135</f>
        <v>720</v>
      </c>
      <c r="D136" s="97">
        <f t="shared" si="40"/>
        <v>720</v>
      </c>
      <c r="E136" s="97">
        <f t="shared" si="40"/>
        <v>720</v>
      </c>
      <c r="F136" s="97">
        <f t="shared" si="40"/>
        <v>720</v>
      </c>
      <c r="G136" s="97">
        <f t="shared" si="40"/>
        <v>720</v>
      </c>
      <c r="H136" s="97">
        <f t="shared" si="40"/>
        <v>720</v>
      </c>
      <c r="I136" s="97">
        <f t="shared" si="40"/>
        <v>720</v>
      </c>
      <c r="J136" s="97">
        <f t="shared" si="40"/>
        <v>720</v>
      </c>
      <c r="K136" s="97">
        <f t="shared" si="40"/>
        <v>720</v>
      </c>
      <c r="L136" s="97">
        <f t="shared" si="40"/>
        <v>720</v>
      </c>
      <c r="M136" s="97">
        <f t="shared" si="40"/>
        <v>720</v>
      </c>
      <c r="N136" s="97">
        <f t="shared" si="40"/>
        <v>720</v>
      </c>
      <c r="O136" s="2"/>
      <c r="P136" s="2"/>
      <c r="Q136" s="2"/>
      <c r="R136" s="2"/>
      <c r="S136" s="2"/>
      <c r="T136" s="2"/>
      <c r="U136" s="2"/>
      <c r="V136" s="2"/>
      <c r="W136" s="2"/>
      <c r="X136" s="2"/>
      <c r="Y136" s="134"/>
      <c r="Z136" s="2"/>
      <c r="AA136" s="2"/>
      <c r="AB136" s="2"/>
      <c r="AC136" s="2"/>
    </row>
    <row r="137" spans="1:29" ht="14">
      <c r="A137" s="102"/>
      <c r="B137" s="89" t="s">
        <v>221</v>
      </c>
      <c r="C137" s="92">
        <v>20</v>
      </c>
      <c r="D137" s="92">
        <v>20</v>
      </c>
      <c r="E137" s="92">
        <v>20</v>
      </c>
      <c r="F137" s="92">
        <v>22</v>
      </c>
      <c r="G137" s="92">
        <v>25</v>
      </c>
      <c r="H137" s="92">
        <v>25</v>
      </c>
      <c r="I137" s="92">
        <v>22</v>
      </c>
      <c r="J137" s="92">
        <v>20</v>
      </c>
      <c r="K137" s="92">
        <v>20</v>
      </c>
      <c r="L137" s="92">
        <v>20</v>
      </c>
      <c r="M137" s="92">
        <v>20</v>
      </c>
      <c r="N137" s="92">
        <v>20</v>
      </c>
      <c r="O137" s="2"/>
      <c r="P137" s="2"/>
      <c r="Q137" s="2"/>
      <c r="R137" s="2"/>
      <c r="S137" s="2"/>
      <c r="T137" s="2"/>
      <c r="U137" s="2"/>
      <c r="V137" s="2"/>
      <c r="W137" s="2"/>
      <c r="X137" s="2"/>
      <c r="Y137" s="134"/>
      <c r="Z137" s="2"/>
      <c r="AA137" s="2"/>
      <c r="AB137" s="2"/>
      <c r="AC137" s="2"/>
    </row>
    <row r="138" spans="1:29" ht="14">
      <c r="A138" s="102"/>
      <c r="B138" s="89" t="s">
        <v>223</v>
      </c>
      <c r="C138" s="120">
        <v>15</v>
      </c>
      <c r="D138" s="120">
        <v>15</v>
      </c>
      <c r="E138" s="120">
        <v>15</v>
      </c>
      <c r="F138" s="120">
        <v>15</v>
      </c>
      <c r="G138" s="120">
        <v>15</v>
      </c>
      <c r="H138" s="120">
        <v>15</v>
      </c>
      <c r="I138" s="120">
        <v>15</v>
      </c>
      <c r="J138" s="120">
        <v>15</v>
      </c>
      <c r="K138" s="120">
        <v>15</v>
      </c>
      <c r="L138" s="120">
        <v>15</v>
      </c>
      <c r="M138" s="120">
        <v>15</v>
      </c>
      <c r="N138" s="120">
        <v>15</v>
      </c>
      <c r="O138" s="2"/>
      <c r="P138" s="2"/>
      <c r="Q138" s="2"/>
      <c r="R138" s="2"/>
      <c r="S138" s="2"/>
      <c r="T138" s="2"/>
      <c r="U138" s="2"/>
      <c r="V138" s="2"/>
      <c r="W138" s="2"/>
      <c r="X138" s="2"/>
      <c r="Y138" s="134"/>
      <c r="Z138" s="2"/>
      <c r="AA138" s="2"/>
      <c r="AB138" s="2"/>
      <c r="AC138" s="2"/>
    </row>
    <row r="139" spans="1:29" ht="14">
      <c r="A139" s="102" t="s">
        <v>345</v>
      </c>
      <c r="B139" s="95" t="s">
        <v>228</v>
      </c>
      <c r="C139" s="97">
        <f t="shared" ref="C139:N139" si="41">C137*C138</f>
        <v>300</v>
      </c>
      <c r="D139" s="97">
        <f t="shared" si="41"/>
        <v>300</v>
      </c>
      <c r="E139" s="97">
        <f t="shared" si="41"/>
        <v>300</v>
      </c>
      <c r="F139" s="97">
        <f t="shared" si="41"/>
        <v>330</v>
      </c>
      <c r="G139" s="97">
        <f t="shared" si="41"/>
        <v>375</v>
      </c>
      <c r="H139" s="97">
        <f t="shared" si="41"/>
        <v>375</v>
      </c>
      <c r="I139" s="97">
        <f t="shared" si="41"/>
        <v>330</v>
      </c>
      <c r="J139" s="97">
        <f t="shared" si="41"/>
        <v>300</v>
      </c>
      <c r="K139" s="97">
        <f t="shared" si="41"/>
        <v>300</v>
      </c>
      <c r="L139" s="97">
        <f t="shared" si="41"/>
        <v>300</v>
      </c>
      <c r="M139" s="97">
        <f t="shared" si="41"/>
        <v>300</v>
      </c>
      <c r="N139" s="97">
        <f t="shared" si="41"/>
        <v>300</v>
      </c>
      <c r="O139" s="2"/>
      <c r="P139" s="2"/>
      <c r="Q139" s="2"/>
      <c r="R139" s="2"/>
      <c r="S139" s="2"/>
      <c r="T139" s="2"/>
      <c r="U139" s="2"/>
      <c r="V139" s="2"/>
      <c r="W139" s="2"/>
      <c r="X139" s="2"/>
      <c r="Y139" s="134"/>
      <c r="Z139" s="2"/>
      <c r="AA139" s="2"/>
      <c r="AB139" s="2"/>
      <c r="AC139" s="2"/>
    </row>
    <row r="140" spans="1:29" ht="14">
      <c r="A140" s="102"/>
      <c r="B140" s="89" t="s">
        <v>221</v>
      </c>
      <c r="C140" s="120">
        <v>12</v>
      </c>
      <c r="D140" s="120">
        <v>12</v>
      </c>
      <c r="E140" s="120">
        <v>12</v>
      </c>
      <c r="F140" s="120">
        <v>12</v>
      </c>
      <c r="G140" s="120">
        <v>12</v>
      </c>
      <c r="H140" s="120">
        <v>12</v>
      </c>
      <c r="I140" s="120">
        <v>12</v>
      </c>
      <c r="J140" s="120">
        <v>12</v>
      </c>
      <c r="K140" s="120">
        <v>12</v>
      </c>
      <c r="L140" s="120">
        <v>12</v>
      </c>
      <c r="M140" s="120">
        <v>12</v>
      </c>
      <c r="N140" s="120">
        <v>12</v>
      </c>
      <c r="O140" s="2"/>
      <c r="P140" s="2"/>
      <c r="Q140" s="2"/>
      <c r="R140" s="2"/>
      <c r="S140" s="2"/>
      <c r="T140" s="2"/>
      <c r="U140" s="2"/>
      <c r="V140" s="2"/>
      <c r="W140" s="2"/>
      <c r="X140" s="2"/>
      <c r="Y140" s="134"/>
      <c r="Z140" s="2"/>
      <c r="AA140" s="2"/>
      <c r="AB140" s="2"/>
      <c r="AC140" s="2"/>
    </row>
    <row r="141" spans="1:29" ht="28">
      <c r="A141" s="102"/>
      <c r="B141" s="135" t="s">
        <v>313</v>
      </c>
      <c r="C141" s="120">
        <v>50</v>
      </c>
      <c r="D141" s="120">
        <v>50</v>
      </c>
      <c r="E141" s="120">
        <v>50</v>
      </c>
      <c r="F141" s="120">
        <v>50</v>
      </c>
      <c r="G141" s="120">
        <v>50</v>
      </c>
      <c r="H141" s="120">
        <v>50</v>
      </c>
      <c r="I141" s="120">
        <v>50</v>
      </c>
      <c r="J141" s="120">
        <v>50</v>
      </c>
      <c r="K141" s="120">
        <v>50</v>
      </c>
      <c r="L141" s="120">
        <v>50</v>
      </c>
      <c r="M141" s="120">
        <v>50</v>
      </c>
      <c r="N141" s="120">
        <v>50</v>
      </c>
      <c r="O141" s="2"/>
      <c r="P141" s="2"/>
      <c r="Q141" s="2"/>
      <c r="R141" s="2"/>
      <c r="S141" s="2"/>
      <c r="T141" s="2"/>
      <c r="U141" s="2"/>
      <c r="V141" s="2"/>
      <c r="W141" s="2"/>
      <c r="X141" s="2"/>
      <c r="Y141" s="134"/>
      <c r="Z141" s="2"/>
      <c r="AA141" s="2"/>
      <c r="AB141" s="2"/>
      <c r="AC141" s="2"/>
    </row>
    <row r="142" spans="1:29" ht="14">
      <c r="A142" s="102" t="s">
        <v>346</v>
      </c>
      <c r="B142" s="95" t="s">
        <v>228</v>
      </c>
      <c r="C142" s="97">
        <f t="shared" ref="C142:N142" si="42">C140*C141</f>
        <v>600</v>
      </c>
      <c r="D142" s="97">
        <f t="shared" si="42"/>
        <v>600</v>
      </c>
      <c r="E142" s="97">
        <f t="shared" si="42"/>
        <v>600</v>
      </c>
      <c r="F142" s="97">
        <f t="shared" si="42"/>
        <v>600</v>
      </c>
      <c r="G142" s="97">
        <f t="shared" si="42"/>
        <v>600</v>
      </c>
      <c r="H142" s="97">
        <f t="shared" si="42"/>
        <v>600</v>
      </c>
      <c r="I142" s="97">
        <f t="shared" si="42"/>
        <v>600</v>
      </c>
      <c r="J142" s="97">
        <f t="shared" si="42"/>
        <v>600</v>
      </c>
      <c r="K142" s="97">
        <f t="shared" si="42"/>
        <v>600</v>
      </c>
      <c r="L142" s="97">
        <f t="shared" si="42"/>
        <v>600</v>
      </c>
      <c r="M142" s="97">
        <f t="shared" si="42"/>
        <v>600</v>
      </c>
      <c r="N142" s="97">
        <f t="shared" si="42"/>
        <v>600</v>
      </c>
      <c r="O142" s="2"/>
      <c r="P142" s="2"/>
      <c r="Q142" s="2"/>
      <c r="R142" s="2"/>
      <c r="S142" s="2"/>
      <c r="T142" s="2"/>
      <c r="U142" s="2"/>
      <c r="V142" s="2"/>
      <c r="W142" s="2"/>
      <c r="X142" s="2"/>
      <c r="Y142" s="134"/>
      <c r="Z142" s="2"/>
      <c r="AA142" s="2"/>
      <c r="AB142" s="2"/>
      <c r="AC142" s="2"/>
    </row>
    <row r="143" spans="1:29" ht="14">
      <c r="A143" s="102"/>
      <c r="B143" s="89" t="s">
        <v>221</v>
      </c>
      <c r="C143" s="92">
        <v>10</v>
      </c>
      <c r="D143" s="92">
        <v>10</v>
      </c>
      <c r="E143" s="92">
        <v>10</v>
      </c>
      <c r="F143" s="92">
        <v>10</v>
      </c>
      <c r="G143" s="92">
        <v>11</v>
      </c>
      <c r="H143" s="92">
        <v>11</v>
      </c>
      <c r="I143" s="92">
        <v>10</v>
      </c>
      <c r="J143" s="92">
        <v>10</v>
      </c>
      <c r="K143" s="92">
        <v>10</v>
      </c>
      <c r="L143" s="92">
        <v>10</v>
      </c>
      <c r="M143" s="92">
        <v>10</v>
      </c>
      <c r="N143" s="92">
        <v>10</v>
      </c>
      <c r="O143" s="2"/>
      <c r="P143" s="2"/>
      <c r="Q143" s="2"/>
      <c r="R143" s="2"/>
      <c r="S143" s="2"/>
      <c r="T143" s="2"/>
      <c r="U143" s="2"/>
      <c r="V143" s="2"/>
      <c r="W143" s="2"/>
      <c r="X143" s="2"/>
      <c r="Y143" s="134"/>
      <c r="Z143" s="2"/>
      <c r="AA143" s="2"/>
      <c r="AB143" s="2"/>
      <c r="AC143" s="2"/>
    </row>
    <row r="144" spans="1:29" ht="28">
      <c r="A144" s="102"/>
      <c r="B144" s="135" t="s">
        <v>313</v>
      </c>
      <c r="C144" s="120">
        <v>50</v>
      </c>
      <c r="D144" s="120">
        <v>50</v>
      </c>
      <c r="E144" s="120">
        <v>50</v>
      </c>
      <c r="F144" s="120">
        <v>50</v>
      </c>
      <c r="G144" s="120">
        <v>50</v>
      </c>
      <c r="H144" s="120">
        <v>50</v>
      </c>
      <c r="I144" s="120">
        <v>50</v>
      </c>
      <c r="J144" s="120">
        <v>50</v>
      </c>
      <c r="K144" s="120">
        <v>50</v>
      </c>
      <c r="L144" s="120">
        <v>50</v>
      </c>
      <c r="M144" s="120">
        <v>50</v>
      </c>
      <c r="N144" s="120">
        <v>50</v>
      </c>
      <c r="O144" s="2"/>
      <c r="P144" s="2"/>
      <c r="Q144" s="2"/>
      <c r="R144" s="2"/>
      <c r="S144" s="2"/>
      <c r="T144" s="2"/>
      <c r="U144" s="2"/>
      <c r="V144" s="2"/>
      <c r="W144" s="2"/>
      <c r="X144" s="2"/>
      <c r="Y144" s="134"/>
      <c r="Z144" s="2"/>
      <c r="AA144" s="2"/>
      <c r="AB144" s="2"/>
      <c r="AC144" s="2"/>
    </row>
    <row r="145" spans="1:29" ht="14">
      <c r="A145" s="102" t="s">
        <v>347</v>
      </c>
      <c r="B145" s="95" t="s">
        <v>228</v>
      </c>
      <c r="C145" s="97">
        <f t="shared" ref="C145:N145" si="43">C143*C144</f>
        <v>500</v>
      </c>
      <c r="D145" s="97">
        <f t="shared" si="43"/>
        <v>500</v>
      </c>
      <c r="E145" s="97">
        <f t="shared" si="43"/>
        <v>500</v>
      </c>
      <c r="F145" s="97">
        <f t="shared" si="43"/>
        <v>500</v>
      </c>
      <c r="G145" s="97">
        <f t="shared" si="43"/>
        <v>550</v>
      </c>
      <c r="H145" s="97">
        <f t="shared" si="43"/>
        <v>550</v>
      </c>
      <c r="I145" s="97">
        <f t="shared" si="43"/>
        <v>500</v>
      </c>
      <c r="J145" s="97">
        <f t="shared" si="43"/>
        <v>500</v>
      </c>
      <c r="K145" s="97">
        <f t="shared" si="43"/>
        <v>500</v>
      </c>
      <c r="L145" s="97">
        <f t="shared" si="43"/>
        <v>500</v>
      </c>
      <c r="M145" s="97">
        <f t="shared" si="43"/>
        <v>500</v>
      </c>
      <c r="N145" s="97">
        <f t="shared" si="43"/>
        <v>500</v>
      </c>
      <c r="O145" s="2"/>
      <c r="P145" s="2"/>
      <c r="Q145" s="2"/>
      <c r="R145" s="2"/>
      <c r="S145" s="2"/>
      <c r="T145" s="2"/>
      <c r="U145" s="2"/>
      <c r="V145" s="2"/>
      <c r="W145" s="2"/>
      <c r="X145" s="2"/>
      <c r="Y145" s="134"/>
      <c r="Z145" s="2"/>
      <c r="AA145" s="2"/>
      <c r="AB145" s="2"/>
      <c r="AC145" s="2"/>
    </row>
    <row r="146" spans="1:29" ht="14">
      <c r="A146" s="102"/>
      <c r="B146" s="89" t="s">
        <v>221</v>
      </c>
      <c r="C146" s="92">
        <v>25</v>
      </c>
      <c r="D146" s="92">
        <v>25</v>
      </c>
      <c r="E146" s="92">
        <v>25</v>
      </c>
      <c r="F146" s="92">
        <v>25</v>
      </c>
      <c r="G146" s="92">
        <v>27</v>
      </c>
      <c r="H146" s="92">
        <v>27</v>
      </c>
      <c r="I146" s="92">
        <v>25</v>
      </c>
      <c r="J146" s="92">
        <v>25</v>
      </c>
      <c r="K146" s="92">
        <v>25</v>
      </c>
      <c r="L146" s="92">
        <v>25</v>
      </c>
      <c r="M146" s="92">
        <v>25</v>
      </c>
      <c r="N146" s="92">
        <v>25</v>
      </c>
      <c r="O146" s="2"/>
      <c r="P146" s="2"/>
      <c r="Q146" s="2"/>
      <c r="R146" s="2"/>
      <c r="S146" s="2"/>
      <c r="T146" s="2"/>
      <c r="U146" s="2"/>
      <c r="V146" s="2"/>
      <c r="W146" s="2"/>
      <c r="X146" s="2"/>
      <c r="Y146" s="134"/>
      <c r="Z146" s="2"/>
      <c r="AA146" s="2"/>
      <c r="AB146" s="2"/>
      <c r="AC146" s="2"/>
    </row>
    <row r="147" spans="1:29" ht="28">
      <c r="A147" s="102"/>
      <c r="B147" s="135" t="s">
        <v>313</v>
      </c>
      <c r="C147" s="120">
        <v>30</v>
      </c>
      <c r="D147" s="120">
        <v>30</v>
      </c>
      <c r="E147" s="120">
        <v>30</v>
      </c>
      <c r="F147" s="120">
        <v>30</v>
      </c>
      <c r="G147" s="120">
        <v>30</v>
      </c>
      <c r="H147" s="120">
        <v>30</v>
      </c>
      <c r="I147" s="120">
        <v>30</v>
      </c>
      <c r="J147" s="120">
        <v>30</v>
      </c>
      <c r="K147" s="120">
        <v>30</v>
      </c>
      <c r="L147" s="120">
        <v>30</v>
      </c>
      <c r="M147" s="120">
        <v>30</v>
      </c>
      <c r="N147" s="120">
        <v>30</v>
      </c>
      <c r="O147" s="2"/>
      <c r="P147" s="2"/>
      <c r="Q147" s="2"/>
      <c r="R147" s="2"/>
      <c r="S147" s="2"/>
      <c r="T147" s="2"/>
      <c r="U147" s="2"/>
      <c r="V147" s="2"/>
      <c r="W147" s="2"/>
      <c r="X147" s="2"/>
      <c r="Y147" s="134"/>
      <c r="Z147" s="2"/>
      <c r="AA147" s="2"/>
      <c r="AB147" s="2"/>
      <c r="AC147" s="2"/>
    </row>
    <row r="148" spans="1:29" ht="14">
      <c r="A148" s="102" t="s">
        <v>348</v>
      </c>
      <c r="B148" s="95" t="s">
        <v>228</v>
      </c>
      <c r="C148" s="97">
        <f t="shared" ref="C148:N148" si="44">C146*C147</f>
        <v>750</v>
      </c>
      <c r="D148" s="97">
        <f t="shared" si="44"/>
        <v>750</v>
      </c>
      <c r="E148" s="97">
        <f t="shared" si="44"/>
        <v>750</v>
      </c>
      <c r="F148" s="97">
        <f t="shared" si="44"/>
        <v>750</v>
      </c>
      <c r="G148" s="97">
        <f t="shared" si="44"/>
        <v>810</v>
      </c>
      <c r="H148" s="97">
        <f t="shared" si="44"/>
        <v>810</v>
      </c>
      <c r="I148" s="97">
        <f t="shared" si="44"/>
        <v>750</v>
      </c>
      <c r="J148" s="97">
        <f t="shared" si="44"/>
        <v>750</v>
      </c>
      <c r="K148" s="97">
        <f t="shared" si="44"/>
        <v>750</v>
      </c>
      <c r="L148" s="97">
        <f t="shared" si="44"/>
        <v>750</v>
      </c>
      <c r="M148" s="97">
        <f t="shared" si="44"/>
        <v>750</v>
      </c>
      <c r="N148" s="97">
        <f t="shared" si="44"/>
        <v>750</v>
      </c>
      <c r="O148" s="2"/>
      <c r="P148" s="2"/>
      <c r="Q148" s="2"/>
      <c r="R148" s="2"/>
      <c r="S148" s="2"/>
      <c r="T148" s="2"/>
      <c r="U148" s="2"/>
      <c r="V148" s="2"/>
      <c r="W148" s="2"/>
      <c r="X148" s="2"/>
      <c r="Y148" s="134"/>
      <c r="Z148" s="2"/>
      <c r="AA148" s="2"/>
      <c r="AB148" s="2"/>
      <c r="AC148" s="2"/>
    </row>
    <row r="149" spans="1:29" ht="14">
      <c r="A149" s="102"/>
      <c r="B149" s="89" t="s">
        <v>221</v>
      </c>
      <c r="C149" s="120">
        <v>25</v>
      </c>
      <c r="D149" s="120">
        <v>25</v>
      </c>
      <c r="E149" s="120">
        <v>25</v>
      </c>
      <c r="F149" s="120">
        <v>25</v>
      </c>
      <c r="G149" s="120">
        <v>25</v>
      </c>
      <c r="H149" s="120">
        <v>25</v>
      </c>
      <c r="I149" s="120">
        <v>25</v>
      </c>
      <c r="J149" s="120">
        <v>25</v>
      </c>
      <c r="K149" s="120">
        <v>25</v>
      </c>
      <c r="L149" s="120">
        <v>25</v>
      </c>
      <c r="M149" s="120">
        <v>25</v>
      </c>
      <c r="N149" s="120">
        <v>25</v>
      </c>
      <c r="O149" s="2"/>
      <c r="P149" s="2"/>
      <c r="Q149" s="2"/>
      <c r="R149" s="2"/>
      <c r="S149" s="2"/>
      <c r="T149" s="2"/>
      <c r="U149" s="2"/>
      <c r="V149" s="2"/>
      <c r="W149" s="2"/>
      <c r="X149" s="2"/>
      <c r="Y149" s="134"/>
      <c r="Z149" s="2"/>
      <c r="AA149" s="2"/>
      <c r="AB149" s="2"/>
      <c r="AC149" s="2"/>
    </row>
    <row r="150" spans="1:29" ht="28">
      <c r="A150" s="102"/>
      <c r="B150" s="135" t="s">
        <v>313</v>
      </c>
      <c r="C150" s="120">
        <v>20</v>
      </c>
      <c r="D150" s="120">
        <v>20</v>
      </c>
      <c r="E150" s="120">
        <v>20</v>
      </c>
      <c r="F150" s="120">
        <v>20</v>
      </c>
      <c r="G150" s="120">
        <v>20</v>
      </c>
      <c r="H150" s="120">
        <v>20</v>
      </c>
      <c r="I150" s="120">
        <v>20</v>
      </c>
      <c r="J150" s="120">
        <v>20</v>
      </c>
      <c r="K150" s="120">
        <v>20</v>
      </c>
      <c r="L150" s="120">
        <v>20</v>
      </c>
      <c r="M150" s="120">
        <v>20</v>
      </c>
      <c r="N150" s="120">
        <v>20</v>
      </c>
      <c r="O150" s="2"/>
      <c r="P150" s="2"/>
      <c r="Q150" s="2"/>
      <c r="R150" s="2"/>
      <c r="S150" s="2"/>
      <c r="T150" s="2"/>
      <c r="U150" s="2"/>
      <c r="V150" s="2"/>
      <c r="W150" s="2"/>
      <c r="X150" s="2"/>
      <c r="Y150" s="134"/>
      <c r="Z150" s="2"/>
      <c r="AA150" s="2"/>
      <c r="AB150" s="2"/>
      <c r="AC150" s="2"/>
    </row>
    <row r="151" spans="1:29" ht="14">
      <c r="A151" s="102" t="s">
        <v>349</v>
      </c>
      <c r="B151" s="95" t="s">
        <v>228</v>
      </c>
      <c r="C151" s="97">
        <f t="shared" ref="C151:N151" si="45">C149*C150</f>
        <v>500</v>
      </c>
      <c r="D151" s="97">
        <f t="shared" si="45"/>
        <v>500</v>
      </c>
      <c r="E151" s="97">
        <f t="shared" si="45"/>
        <v>500</v>
      </c>
      <c r="F151" s="97">
        <f t="shared" si="45"/>
        <v>500</v>
      </c>
      <c r="G151" s="97">
        <f t="shared" si="45"/>
        <v>500</v>
      </c>
      <c r="H151" s="97">
        <f t="shared" si="45"/>
        <v>500</v>
      </c>
      <c r="I151" s="97">
        <f t="shared" si="45"/>
        <v>500</v>
      </c>
      <c r="J151" s="97">
        <f t="shared" si="45"/>
        <v>500</v>
      </c>
      <c r="K151" s="97">
        <f t="shared" si="45"/>
        <v>500</v>
      </c>
      <c r="L151" s="97">
        <f t="shared" si="45"/>
        <v>500</v>
      </c>
      <c r="M151" s="97">
        <f t="shared" si="45"/>
        <v>500</v>
      </c>
      <c r="N151" s="97">
        <f t="shared" si="45"/>
        <v>500</v>
      </c>
      <c r="O151" s="2"/>
      <c r="P151" s="2"/>
      <c r="Q151" s="2"/>
      <c r="R151" s="2"/>
      <c r="S151" s="2"/>
      <c r="T151" s="2"/>
      <c r="U151" s="2"/>
      <c r="V151" s="2"/>
      <c r="W151" s="2"/>
      <c r="X151" s="2"/>
      <c r="Y151" s="134"/>
      <c r="Z151" s="2"/>
      <c r="AA151" s="2"/>
      <c r="AB151" s="2"/>
      <c r="AC151" s="2"/>
    </row>
    <row r="152" spans="1:29" ht="14">
      <c r="A152" s="102"/>
      <c r="B152" s="89" t="s">
        <v>221</v>
      </c>
      <c r="C152" s="120">
        <v>12</v>
      </c>
      <c r="D152" s="120">
        <v>12</v>
      </c>
      <c r="E152" s="120">
        <v>12</v>
      </c>
      <c r="F152" s="120">
        <v>12</v>
      </c>
      <c r="G152" s="120">
        <v>12</v>
      </c>
      <c r="H152" s="120">
        <v>12</v>
      </c>
      <c r="I152" s="120">
        <v>12</v>
      </c>
      <c r="J152" s="120">
        <v>12</v>
      </c>
      <c r="K152" s="120">
        <v>12</v>
      </c>
      <c r="L152" s="120">
        <v>12</v>
      </c>
      <c r="M152" s="120">
        <v>12</v>
      </c>
      <c r="N152" s="120">
        <v>12</v>
      </c>
      <c r="O152" s="2"/>
      <c r="P152" s="2"/>
      <c r="Q152" s="2"/>
      <c r="R152" s="2"/>
      <c r="S152" s="2"/>
      <c r="T152" s="2"/>
      <c r="U152" s="2"/>
      <c r="V152" s="2"/>
      <c r="W152" s="2"/>
      <c r="X152" s="2"/>
      <c r="Y152" s="134"/>
      <c r="Z152" s="2"/>
      <c r="AA152" s="2"/>
      <c r="AB152" s="2"/>
      <c r="AC152" s="2"/>
    </row>
    <row r="153" spans="1:29" ht="28">
      <c r="A153" s="102"/>
      <c r="B153" s="135" t="s">
        <v>313</v>
      </c>
      <c r="C153" s="120">
        <v>40</v>
      </c>
      <c r="D153" s="120">
        <v>40</v>
      </c>
      <c r="E153" s="120">
        <v>40</v>
      </c>
      <c r="F153" s="120">
        <v>40</v>
      </c>
      <c r="G153" s="120">
        <v>40</v>
      </c>
      <c r="H153" s="120">
        <v>40</v>
      </c>
      <c r="I153" s="120">
        <v>40</v>
      </c>
      <c r="J153" s="120">
        <v>40</v>
      </c>
      <c r="K153" s="120">
        <v>40</v>
      </c>
      <c r="L153" s="120">
        <v>40</v>
      </c>
      <c r="M153" s="120">
        <v>40</v>
      </c>
      <c r="N153" s="120">
        <v>40</v>
      </c>
      <c r="O153" s="2"/>
      <c r="P153" s="2"/>
      <c r="Q153" s="2"/>
      <c r="R153" s="2"/>
      <c r="S153" s="2"/>
      <c r="T153" s="2"/>
      <c r="U153" s="2"/>
      <c r="V153" s="2"/>
      <c r="W153" s="2"/>
      <c r="X153" s="2"/>
      <c r="Y153" s="134"/>
      <c r="Z153" s="2"/>
      <c r="AA153" s="2"/>
      <c r="AB153" s="2"/>
      <c r="AC153" s="2"/>
    </row>
    <row r="154" spans="1:29" ht="14">
      <c r="A154" s="102" t="s">
        <v>350</v>
      </c>
      <c r="B154" s="95" t="s">
        <v>228</v>
      </c>
      <c r="C154" s="97">
        <f t="shared" ref="C154:N154" si="46">C152*C153</f>
        <v>480</v>
      </c>
      <c r="D154" s="97">
        <f t="shared" si="46"/>
        <v>480</v>
      </c>
      <c r="E154" s="97">
        <f t="shared" si="46"/>
        <v>480</v>
      </c>
      <c r="F154" s="97">
        <f t="shared" si="46"/>
        <v>480</v>
      </c>
      <c r="G154" s="97">
        <f t="shared" si="46"/>
        <v>480</v>
      </c>
      <c r="H154" s="97">
        <f t="shared" si="46"/>
        <v>480</v>
      </c>
      <c r="I154" s="97">
        <f t="shared" si="46"/>
        <v>480</v>
      </c>
      <c r="J154" s="97">
        <f t="shared" si="46"/>
        <v>480</v>
      </c>
      <c r="K154" s="97">
        <f t="shared" si="46"/>
        <v>480</v>
      </c>
      <c r="L154" s="97">
        <f t="shared" si="46"/>
        <v>480</v>
      </c>
      <c r="M154" s="97">
        <f t="shared" si="46"/>
        <v>480</v>
      </c>
      <c r="N154" s="97">
        <f t="shared" si="46"/>
        <v>480</v>
      </c>
      <c r="O154" s="2"/>
      <c r="P154" s="2"/>
      <c r="Q154" s="2"/>
      <c r="R154" s="2"/>
      <c r="S154" s="2"/>
      <c r="T154" s="2"/>
      <c r="U154" s="2"/>
      <c r="V154" s="2"/>
      <c r="W154" s="2"/>
      <c r="X154" s="2"/>
      <c r="Y154" s="134"/>
      <c r="Z154" s="2"/>
      <c r="AA154" s="2"/>
      <c r="AB154" s="2"/>
      <c r="AC154" s="2"/>
    </row>
    <row r="155" spans="1:29" ht="14">
      <c r="A155" s="102"/>
      <c r="B155" s="89" t="s">
        <v>221</v>
      </c>
      <c r="C155" s="92">
        <v>10</v>
      </c>
      <c r="D155" s="92">
        <v>10</v>
      </c>
      <c r="E155" s="92">
        <v>10</v>
      </c>
      <c r="F155" s="92">
        <v>10</v>
      </c>
      <c r="G155" s="92">
        <v>11</v>
      </c>
      <c r="H155" s="92">
        <v>11</v>
      </c>
      <c r="I155" s="92">
        <v>10</v>
      </c>
      <c r="J155" s="92">
        <v>10</v>
      </c>
      <c r="K155" s="92">
        <v>10</v>
      </c>
      <c r="L155" s="92">
        <v>10</v>
      </c>
      <c r="M155" s="92">
        <v>10</v>
      </c>
      <c r="N155" s="92">
        <v>10</v>
      </c>
      <c r="O155" s="2"/>
      <c r="P155" s="2"/>
      <c r="Q155" s="2"/>
      <c r="R155" s="2"/>
      <c r="S155" s="2"/>
      <c r="T155" s="2"/>
      <c r="U155" s="2"/>
      <c r="V155" s="2"/>
      <c r="W155" s="2"/>
      <c r="X155" s="2"/>
      <c r="Y155" s="134"/>
      <c r="Z155" s="2"/>
      <c r="AA155" s="2"/>
      <c r="AB155" s="2"/>
      <c r="AC155" s="2"/>
    </row>
    <row r="156" spans="1:29" ht="28">
      <c r="A156" s="102"/>
      <c r="B156" s="135" t="s">
        <v>313</v>
      </c>
      <c r="C156" s="120">
        <v>40</v>
      </c>
      <c r="D156" s="120">
        <v>40</v>
      </c>
      <c r="E156" s="120">
        <v>40</v>
      </c>
      <c r="F156" s="120">
        <v>40</v>
      </c>
      <c r="G156" s="120">
        <v>40</v>
      </c>
      <c r="H156" s="120">
        <v>40</v>
      </c>
      <c r="I156" s="120">
        <v>40</v>
      </c>
      <c r="J156" s="120">
        <v>40</v>
      </c>
      <c r="K156" s="120">
        <v>40</v>
      </c>
      <c r="L156" s="120">
        <v>40</v>
      </c>
      <c r="M156" s="120">
        <v>40</v>
      </c>
      <c r="N156" s="120">
        <v>40</v>
      </c>
      <c r="O156" s="2"/>
      <c r="P156" s="2"/>
      <c r="Q156" s="2"/>
      <c r="R156" s="2"/>
      <c r="S156" s="2"/>
      <c r="T156" s="2"/>
      <c r="U156" s="2"/>
      <c r="V156" s="2"/>
      <c r="W156" s="2"/>
      <c r="X156" s="2"/>
      <c r="Y156" s="134"/>
      <c r="Z156" s="2"/>
      <c r="AA156" s="2"/>
      <c r="AB156" s="2"/>
      <c r="AC156" s="2"/>
    </row>
    <row r="157" spans="1:29" ht="14">
      <c r="A157" s="102" t="s">
        <v>351</v>
      </c>
      <c r="B157" s="95" t="s">
        <v>228</v>
      </c>
      <c r="C157" s="97">
        <f t="shared" ref="C157:N157" si="47">C155*C156</f>
        <v>400</v>
      </c>
      <c r="D157" s="97">
        <f t="shared" si="47"/>
        <v>400</v>
      </c>
      <c r="E157" s="97">
        <f t="shared" si="47"/>
        <v>400</v>
      </c>
      <c r="F157" s="97">
        <f t="shared" si="47"/>
        <v>400</v>
      </c>
      <c r="G157" s="97">
        <f t="shared" si="47"/>
        <v>440</v>
      </c>
      <c r="H157" s="97">
        <f t="shared" si="47"/>
        <v>440</v>
      </c>
      <c r="I157" s="97">
        <f t="shared" si="47"/>
        <v>400</v>
      </c>
      <c r="J157" s="97">
        <f t="shared" si="47"/>
        <v>400</v>
      </c>
      <c r="K157" s="97">
        <f t="shared" si="47"/>
        <v>400</v>
      </c>
      <c r="L157" s="97">
        <f t="shared" si="47"/>
        <v>400</v>
      </c>
      <c r="M157" s="97">
        <f t="shared" si="47"/>
        <v>400</v>
      </c>
      <c r="N157" s="97">
        <f t="shared" si="47"/>
        <v>400</v>
      </c>
      <c r="O157" s="2"/>
      <c r="P157" s="2"/>
      <c r="Q157" s="2"/>
      <c r="R157" s="2"/>
      <c r="S157" s="2"/>
      <c r="T157" s="2"/>
      <c r="U157" s="2"/>
      <c r="V157" s="2"/>
      <c r="W157" s="2"/>
      <c r="X157" s="2"/>
      <c r="Y157" s="134"/>
      <c r="Z157" s="2"/>
      <c r="AA157" s="2"/>
      <c r="AB157" s="2"/>
      <c r="AC157" s="2"/>
    </row>
    <row r="158" spans="1:29" ht="14">
      <c r="A158" s="102"/>
      <c r="B158" s="89" t="s">
        <v>221</v>
      </c>
      <c r="C158" s="92">
        <v>8</v>
      </c>
      <c r="D158" s="92">
        <v>8</v>
      </c>
      <c r="E158" s="92">
        <v>8</v>
      </c>
      <c r="F158" s="92">
        <v>8</v>
      </c>
      <c r="G158" s="92">
        <v>9</v>
      </c>
      <c r="H158" s="92">
        <v>9</v>
      </c>
      <c r="I158" s="92">
        <v>8</v>
      </c>
      <c r="J158" s="92">
        <v>8</v>
      </c>
      <c r="K158" s="92">
        <v>8</v>
      </c>
      <c r="L158" s="92">
        <v>8</v>
      </c>
      <c r="M158" s="92">
        <v>8</v>
      </c>
      <c r="N158" s="92">
        <v>8</v>
      </c>
      <c r="O158" s="2"/>
      <c r="P158" s="2"/>
      <c r="Q158" s="2"/>
      <c r="R158" s="2"/>
      <c r="S158" s="2"/>
      <c r="T158" s="2"/>
      <c r="U158" s="2"/>
      <c r="V158" s="2"/>
      <c r="W158" s="2"/>
      <c r="X158" s="2"/>
      <c r="Y158" s="134"/>
      <c r="Z158" s="2"/>
      <c r="AA158" s="2"/>
      <c r="AB158" s="2"/>
      <c r="AC158" s="2"/>
    </row>
    <row r="159" spans="1:29" ht="28">
      <c r="A159" s="102"/>
      <c r="B159" s="135" t="s">
        <v>313</v>
      </c>
      <c r="C159" s="120">
        <v>50</v>
      </c>
      <c r="D159" s="120">
        <v>50</v>
      </c>
      <c r="E159" s="120">
        <v>50</v>
      </c>
      <c r="F159" s="120">
        <v>50</v>
      </c>
      <c r="G159" s="120">
        <v>50</v>
      </c>
      <c r="H159" s="120">
        <v>50</v>
      </c>
      <c r="I159" s="120">
        <v>50</v>
      </c>
      <c r="J159" s="120">
        <v>50</v>
      </c>
      <c r="K159" s="120">
        <v>50</v>
      </c>
      <c r="L159" s="120">
        <v>50</v>
      </c>
      <c r="M159" s="120">
        <v>50</v>
      </c>
      <c r="N159" s="120">
        <v>50</v>
      </c>
      <c r="O159" s="2"/>
      <c r="P159" s="2"/>
      <c r="Q159" s="2"/>
      <c r="R159" s="2"/>
      <c r="S159" s="2"/>
      <c r="T159" s="2"/>
      <c r="U159" s="2"/>
      <c r="V159" s="2"/>
      <c r="W159" s="2"/>
      <c r="X159" s="2"/>
      <c r="Y159" s="134"/>
      <c r="Z159" s="2"/>
      <c r="AA159" s="2"/>
      <c r="AB159" s="2"/>
      <c r="AC159" s="2"/>
    </row>
    <row r="160" spans="1:29" ht="14">
      <c r="A160" s="102" t="s">
        <v>352</v>
      </c>
      <c r="B160" s="95" t="s">
        <v>228</v>
      </c>
      <c r="C160" s="97">
        <f t="shared" ref="C160:N160" si="48">C158*C159</f>
        <v>400</v>
      </c>
      <c r="D160" s="97">
        <f t="shared" si="48"/>
        <v>400</v>
      </c>
      <c r="E160" s="97">
        <f t="shared" si="48"/>
        <v>400</v>
      </c>
      <c r="F160" s="97">
        <f t="shared" si="48"/>
        <v>400</v>
      </c>
      <c r="G160" s="97">
        <f t="shared" si="48"/>
        <v>450</v>
      </c>
      <c r="H160" s="97">
        <f t="shared" si="48"/>
        <v>450</v>
      </c>
      <c r="I160" s="97">
        <f t="shared" si="48"/>
        <v>400</v>
      </c>
      <c r="J160" s="97">
        <f t="shared" si="48"/>
        <v>400</v>
      </c>
      <c r="K160" s="97">
        <f t="shared" si="48"/>
        <v>400</v>
      </c>
      <c r="L160" s="97">
        <f t="shared" si="48"/>
        <v>400</v>
      </c>
      <c r="M160" s="97">
        <f t="shared" si="48"/>
        <v>400</v>
      </c>
      <c r="N160" s="97">
        <f t="shared" si="48"/>
        <v>400</v>
      </c>
      <c r="O160" s="2"/>
      <c r="P160" s="2"/>
      <c r="Q160" s="2"/>
      <c r="R160" s="2"/>
      <c r="S160" s="2"/>
      <c r="T160" s="2"/>
      <c r="U160" s="2"/>
      <c r="V160" s="2"/>
      <c r="W160" s="2"/>
      <c r="X160" s="2"/>
      <c r="Y160" s="134"/>
      <c r="Z160" s="2"/>
      <c r="AA160" s="2"/>
      <c r="AB160" s="2"/>
      <c r="AC160" s="2"/>
    </row>
    <row r="161" spans="1:29" ht="14">
      <c r="A161" s="102"/>
      <c r="B161" s="89" t="s">
        <v>221</v>
      </c>
      <c r="C161" s="120">
        <v>15</v>
      </c>
      <c r="D161" s="120">
        <v>15</v>
      </c>
      <c r="E161" s="120">
        <v>15</v>
      </c>
      <c r="F161" s="120">
        <v>15</v>
      </c>
      <c r="G161" s="120">
        <v>15</v>
      </c>
      <c r="H161" s="120">
        <v>15</v>
      </c>
      <c r="I161" s="120">
        <v>15</v>
      </c>
      <c r="J161" s="120">
        <v>15</v>
      </c>
      <c r="K161" s="120">
        <v>15</v>
      </c>
      <c r="L161" s="120">
        <v>15</v>
      </c>
      <c r="M161" s="120">
        <v>15</v>
      </c>
      <c r="N161" s="120">
        <v>15</v>
      </c>
      <c r="O161" s="2"/>
      <c r="P161" s="2"/>
      <c r="Q161" s="2"/>
      <c r="R161" s="2"/>
      <c r="S161" s="2"/>
      <c r="T161" s="2"/>
      <c r="U161" s="2"/>
      <c r="V161" s="2"/>
      <c r="W161" s="2"/>
      <c r="X161" s="2"/>
      <c r="Y161" s="134"/>
      <c r="Z161" s="2"/>
      <c r="AA161" s="2"/>
      <c r="AB161" s="2"/>
      <c r="AC161" s="2"/>
    </row>
    <row r="162" spans="1:29" ht="28">
      <c r="A162" s="102"/>
      <c r="B162" s="135" t="s">
        <v>313</v>
      </c>
      <c r="C162" s="120">
        <v>30</v>
      </c>
      <c r="D162" s="120">
        <v>30</v>
      </c>
      <c r="E162" s="120">
        <v>30</v>
      </c>
      <c r="F162" s="120">
        <v>30</v>
      </c>
      <c r="G162" s="120">
        <v>30</v>
      </c>
      <c r="H162" s="120">
        <v>30</v>
      </c>
      <c r="I162" s="120">
        <v>30</v>
      </c>
      <c r="J162" s="120">
        <v>30</v>
      </c>
      <c r="K162" s="120">
        <v>30</v>
      </c>
      <c r="L162" s="120">
        <v>30</v>
      </c>
      <c r="M162" s="120">
        <v>30</v>
      </c>
      <c r="N162" s="120">
        <v>30</v>
      </c>
      <c r="O162" s="2"/>
      <c r="P162" s="2"/>
      <c r="Q162" s="2"/>
      <c r="R162" s="2"/>
      <c r="S162" s="2"/>
      <c r="T162" s="2"/>
      <c r="U162" s="2"/>
      <c r="V162" s="2"/>
      <c r="W162" s="2"/>
      <c r="X162" s="2"/>
      <c r="Y162" s="134"/>
      <c r="Z162" s="2"/>
      <c r="AA162" s="2"/>
      <c r="AB162" s="2"/>
      <c r="AC162" s="2"/>
    </row>
    <row r="163" spans="1:29" ht="14">
      <c r="A163" s="102" t="s">
        <v>353</v>
      </c>
      <c r="B163" s="95" t="s">
        <v>228</v>
      </c>
      <c r="C163" s="97">
        <f t="shared" ref="C163:N163" si="49">C161*C162</f>
        <v>450</v>
      </c>
      <c r="D163" s="97">
        <f t="shared" si="49"/>
        <v>450</v>
      </c>
      <c r="E163" s="97">
        <f t="shared" si="49"/>
        <v>450</v>
      </c>
      <c r="F163" s="97">
        <f t="shared" si="49"/>
        <v>450</v>
      </c>
      <c r="G163" s="97">
        <f t="shared" si="49"/>
        <v>450</v>
      </c>
      <c r="H163" s="97">
        <f t="shared" si="49"/>
        <v>450</v>
      </c>
      <c r="I163" s="97">
        <f t="shared" si="49"/>
        <v>450</v>
      </c>
      <c r="J163" s="97">
        <f t="shared" si="49"/>
        <v>450</v>
      </c>
      <c r="K163" s="97">
        <f t="shared" si="49"/>
        <v>450</v>
      </c>
      <c r="L163" s="97">
        <f t="shared" si="49"/>
        <v>450</v>
      </c>
      <c r="M163" s="97">
        <f t="shared" si="49"/>
        <v>450</v>
      </c>
      <c r="N163" s="97">
        <f t="shared" si="49"/>
        <v>450</v>
      </c>
      <c r="O163" s="2"/>
      <c r="P163" s="2"/>
      <c r="Q163" s="2"/>
      <c r="R163" s="2"/>
      <c r="S163" s="2"/>
      <c r="T163" s="2"/>
      <c r="U163" s="2"/>
      <c r="V163" s="2"/>
      <c r="W163" s="2"/>
      <c r="X163" s="2"/>
      <c r="Y163" s="134"/>
      <c r="Z163" s="2"/>
      <c r="AA163" s="2"/>
      <c r="AB163" s="2"/>
      <c r="AC163" s="2"/>
    </row>
    <row r="164" spans="1:29" ht="14">
      <c r="A164" s="102"/>
      <c r="B164" s="89" t="s">
        <v>221</v>
      </c>
      <c r="C164" s="120">
        <v>20</v>
      </c>
      <c r="D164" s="120">
        <v>20</v>
      </c>
      <c r="E164" s="120">
        <v>20</v>
      </c>
      <c r="F164" s="120">
        <v>20</v>
      </c>
      <c r="G164" s="120">
        <v>20</v>
      </c>
      <c r="H164" s="120">
        <v>20</v>
      </c>
      <c r="I164" s="120">
        <v>20</v>
      </c>
      <c r="J164" s="120">
        <v>20</v>
      </c>
      <c r="K164" s="120">
        <v>20</v>
      </c>
      <c r="L164" s="120">
        <v>20</v>
      </c>
      <c r="M164" s="120">
        <v>20</v>
      </c>
      <c r="N164" s="120">
        <v>20</v>
      </c>
      <c r="O164" s="2"/>
      <c r="P164" s="2"/>
      <c r="Q164" s="2"/>
      <c r="R164" s="2"/>
      <c r="S164" s="2"/>
      <c r="T164" s="2"/>
      <c r="U164" s="2"/>
      <c r="V164" s="2"/>
      <c r="W164" s="2"/>
      <c r="X164" s="2"/>
      <c r="Y164" s="134"/>
      <c r="Z164" s="2"/>
      <c r="AA164" s="2"/>
      <c r="AB164" s="2"/>
      <c r="AC164" s="2"/>
    </row>
    <row r="165" spans="1:29" ht="14">
      <c r="A165" s="102"/>
      <c r="B165" s="105" t="s">
        <v>354</v>
      </c>
      <c r="C165" s="120">
        <v>25</v>
      </c>
      <c r="D165" s="120">
        <v>25</v>
      </c>
      <c r="E165" s="120">
        <v>25</v>
      </c>
      <c r="F165" s="120">
        <v>25</v>
      </c>
      <c r="G165" s="120">
        <v>25</v>
      </c>
      <c r="H165" s="120">
        <v>25</v>
      </c>
      <c r="I165" s="120">
        <v>25</v>
      </c>
      <c r="J165" s="120">
        <v>25</v>
      </c>
      <c r="K165" s="120">
        <v>25</v>
      </c>
      <c r="L165" s="120">
        <v>25</v>
      </c>
      <c r="M165" s="120">
        <v>25</v>
      </c>
      <c r="N165" s="120">
        <v>25</v>
      </c>
      <c r="O165" s="2"/>
      <c r="P165" s="2"/>
      <c r="Q165" s="2"/>
      <c r="R165" s="2"/>
      <c r="S165" s="2"/>
      <c r="T165" s="2"/>
      <c r="U165" s="2"/>
      <c r="V165" s="2"/>
      <c r="W165" s="2"/>
      <c r="X165" s="2"/>
      <c r="Y165" s="134"/>
      <c r="Z165" s="2"/>
      <c r="AA165" s="2"/>
      <c r="AB165" s="2"/>
      <c r="AC165" s="2"/>
    </row>
    <row r="166" spans="1:29" ht="14">
      <c r="A166" s="102" t="s">
        <v>355</v>
      </c>
      <c r="B166" s="95" t="s">
        <v>228</v>
      </c>
      <c r="C166" s="97">
        <f t="shared" ref="C166:N166" si="50">C164*C165</f>
        <v>500</v>
      </c>
      <c r="D166" s="97">
        <f t="shared" si="50"/>
        <v>500</v>
      </c>
      <c r="E166" s="97">
        <f t="shared" si="50"/>
        <v>500</v>
      </c>
      <c r="F166" s="97">
        <f t="shared" si="50"/>
        <v>500</v>
      </c>
      <c r="G166" s="97">
        <f t="shared" si="50"/>
        <v>500</v>
      </c>
      <c r="H166" s="97">
        <f t="shared" si="50"/>
        <v>500</v>
      </c>
      <c r="I166" s="97">
        <f t="shared" si="50"/>
        <v>500</v>
      </c>
      <c r="J166" s="97">
        <f t="shared" si="50"/>
        <v>500</v>
      </c>
      <c r="K166" s="97">
        <f t="shared" si="50"/>
        <v>500</v>
      </c>
      <c r="L166" s="97">
        <f t="shared" si="50"/>
        <v>500</v>
      </c>
      <c r="M166" s="97">
        <f t="shared" si="50"/>
        <v>500</v>
      </c>
      <c r="N166" s="97">
        <f t="shared" si="50"/>
        <v>500</v>
      </c>
      <c r="O166" s="2"/>
      <c r="P166" s="2"/>
      <c r="Q166" s="2"/>
      <c r="R166" s="2"/>
      <c r="S166" s="2"/>
      <c r="T166" s="2"/>
      <c r="U166" s="2"/>
      <c r="V166" s="2"/>
      <c r="W166" s="2"/>
      <c r="X166" s="2"/>
      <c r="Y166" s="134"/>
      <c r="Z166" s="2"/>
      <c r="AA166" s="2"/>
      <c r="AB166" s="2"/>
      <c r="AC166" s="2"/>
    </row>
    <row r="167" spans="1:29" ht="14">
      <c r="A167" s="102"/>
      <c r="B167" s="89" t="s">
        <v>221</v>
      </c>
      <c r="C167" s="120">
        <v>18</v>
      </c>
      <c r="D167" s="120">
        <v>18</v>
      </c>
      <c r="E167" s="120">
        <v>18</v>
      </c>
      <c r="F167" s="120">
        <v>18</v>
      </c>
      <c r="G167" s="120">
        <v>18</v>
      </c>
      <c r="H167" s="120">
        <v>18</v>
      </c>
      <c r="I167" s="120">
        <v>18</v>
      </c>
      <c r="J167" s="120">
        <v>18</v>
      </c>
      <c r="K167" s="120">
        <v>18</v>
      </c>
      <c r="L167" s="120">
        <v>18</v>
      </c>
      <c r="M167" s="120">
        <v>18</v>
      </c>
      <c r="N167" s="120">
        <v>18</v>
      </c>
      <c r="O167" s="2"/>
      <c r="P167" s="2"/>
      <c r="Q167" s="2"/>
      <c r="R167" s="2"/>
      <c r="S167" s="2"/>
      <c r="T167" s="2"/>
      <c r="U167" s="2"/>
      <c r="V167" s="2"/>
      <c r="W167" s="2"/>
      <c r="X167" s="2"/>
      <c r="Y167" s="134"/>
      <c r="Z167" s="2"/>
      <c r="AA167" s="2"/>
      <c r="AB167" s="2"/>
      <c r="AC167" s="2"/>
    </row>
    <row r="168" spans="1:29" ht="14">
      <c r="A168" s="102"/>
      <c r="B168" s="105" t="s">
        <v>354</v>
      </c>
      <c r="C168" s="120">
        <v>25</v>
      </c>
      <c r="D168" s="120">
        <v>25</v>
      </c>
      <c r="E168" s="120">
        <v>25</v>
      </c>
      <c r="F168" s="120">
        <v>25</v>
      </c>
      <c r="G168" s="120">
        <v>25</v>
      </c>
      <c r="H168" s="120">
        <v>25</v>
      </c>
      <c r="I168" s="120">
        <v>25</v>
      </c>
      <c r="J168" s="120">
        <v>25</v>
      </c>
      <c r="K168" s="120">
        <v>25</v>
      </c>
      <c r="L168" s="120">
        <v>25</v>
      </c>
      <c r="M168" s="120">
        <v>25</v>
      </c>
      <c r="N168" s="120">
        <v>25</v>
      </c>
      <c r="O168" s="2"/>
      <c r="P168" s="2"/>
      <c r="Q168" s="2"/>
      <c r="R168" s="2"/>
      <c r="S168" s="2"/>
      <c r="T168" s="2"/>
      <c r="U168" s="2"/>
      <c r="V168" s="2"/>
      <c r="W168" s="2"/>
      <c r="X168" s="2"/>
      <c r="Y168" s="134"/>
      <c r="Z168" s="2"/>
      <c r="AA168" s="2"/>
      <c r="AB168" s="2"/>
      <c r="AC168" s="2"/>
    </row>
    <row r="169" spans="1:29" ht="14">
      <c r="A169" s="102" t="s">
        <v>356</v>
      </c>
      <c r="B169" s="95" t="s">
        <v>228</v>
      </c>
      <c r="C169" s="97">
        <f t="shared" ref="C169:N169" si="51">C167*C168</f>
        <v>450</v>
      </c>
      <c r="D169" s="97">
        <f t="shared" si="51"/>
        <v>450</v>
      </c>
      <c r="E169" s="97">
        <f t="shared" si="51"/>
        <v>450</v>
      </c>
      <c r="F169" s="97">
        <f t="shared" si="51"/>
        <v>450</v>
      </c>
      <c r="G169" s="97">
        <f t="shared" si="51"/>
        <v>450</v>
      </c>
      <c r="H169" s="97">
        <f t="shared" si="51"/>
        <v>450</v>
      </c>
      <c r="I169" s="97">
        <f t="shared" si="51"/>
        <v>450</v>
      </c>
      <c r="J169" s="97">
        <f t="shared" si="51"/>
        <v>450</v>
      </c>
      <c r="K169" s="97">
        <f t="shared" si="51"/>
        <v>450</v>
      </c>
      <c r="L169" s="97">
        <f t="shared" si="51"/>
        <v>450</v>
      </c>
      <c r="M169" s="97">
        <f t="shared" si="51"/>
        <v>450</v>
      </c>
      <c r="N169" s="97">
        <f t="shared" si="51"/>
        <v>450</v>
      </c>
      <c r="O169" s="2"/>
      <c r="P169" s="2"/>
      <c r="Q169" s="2"/>
      <c r="R169" s="2"/>
      <c r="S169" s="2"/>
      <c r="T169" s="2"/>
      <c r="U169" s="2"/>
      <c r="V169" s="2"/>
      <c r="W169" s="2"/>
      <c r="X169" s="2"/>
      <c r="Y169" s="134"/>
      <c r="Z169" s="2"/>
      <c r="AA169" s="2"/>
      <c r="AB169" s="2"/>
      <c r="AC169" s="2"/>
    </row>
    <row r="170" spans="1:29" ht="14">
      <c r="A170" s="139"/>
      <c r="B170" s="105" t="s">
        <v>221</v>
      </c>
      <c r="C170" s="92">
        <v>25</v>
      </c>
      <c r="D170" s="92">
        <v>25</v>
      </c>
      <c r="E170" s="92">
        <v>26</v>
      </c>
      <c r="F170" s="92">
        <v>27</v>
      </c>
      <c r="G170" s="92">
        <v>28</v>
      </c>
      <c r="H170" s="92">
        <v>30</v>
      </c>
      <c r="I170" s="92">
        <v>32</v>
      </c>
      <c r="J170" s="92">
        <v>30</v>
      </c>
      <c r="K170" s="92">
        <v>28</v>
      </c>
      <c r="L170" s="92">
        <v>26</v>
      </c>
      <c r="M170" s="92">
        <v>25</v>
      </c>
      <c r="N170" s="92">
        <v>24</v>
      </c>
      <c r="O170" s="2"/>
      <c r="P170" s="2"/>
      <c r="Q170" s="2"/>
      <c r="R170" s="2"/>
      <c r="S170" s="2"/>
      <c r="T170" s="2"/>
      <c r="U170" s="2"/>
      <c r="V170" s="2"/>
      <c r="W170" s="2"/>
      <c r="X170" s="2"/>
      <c r="Y170" s="134"/>
      <c r="Z170" s="2"/>
      <c r="AA170" s="2"/>
      <c r="AB170" s="2"/>
      <c r="AC170" s="2"/>
    </row>
    <row r="171" spans="1:29" ht="14">
      <c r="A171" s="139"/>
      <c r="B171" s="105" t="s">
        <v>276</v>
      </c>
      <c r="C171" s="120">
        <v>25</v>
      </c>
      <c r="D171" s="120">
        <v>25</v>
      </c>
      <c r="E171" s="120">
        <v>25</v>
      </c>
      <c r="F171" s="120">
        <v>25</v>
      </c>
      <c r="G171" s="120">
        <v>25</v>
      </c>
      <c r="H171" s="120">
        <v>25</v>
      </c>
      <c r="I171" s="120">
        <v>25</v>
      </c>
      <c r="J171" s="120">
        <v>25</v>
      </c>
      <c r="K171" s="120">
        <v>25</v>
      </c>
      <c r="L171" s="120">
        <v>25</v>
      </c>
      <c r="M171" s="120">
        <v>25</v>
      </c>
      <c r="N171" s="120">
        <v>25</v>
      </c>
      <c r="O171" s="2"/>
      <c r="P171" s="2"/>
      <c r="Q171" s="2"/>
      <c r="R171" s="2"/>
      <c r="S171" s="2"/>
      <c r="T171" s="2"/>
      <c r="U171" s="2"/>
      <c r="V171" s="2"/>
      <c r="W171" s="2"/>
      <c r="X171" s="2"/>
      <c r="Y171" s="134"/>
      <c r="Z171" s="2"/>
      <c r="AA171" s="2"/>
      <c r="AB171" s="2"/>
      <c r="AC171" s="2"/>
    </row>
    <row r="172" spans="1:29" ht="14">
      <c r="A172" s="139" t="s">
        <v>357</v>
      </c>
      <c r="B172" s="140" t="s">
        <v>228</v>
      </c>
      <c r="C172" s="97">
        <f t="shared" ref="C172:N172" si="52">C170*C171</f>
        <v>625</v>
      </c>
      <c r="D172" s="97">
        <f t="shared" si="52"/>
        <v>625</v>
      </c>
      <c r="E172" s="97">
        <f t="shared" si="52"/>
        <v>650</v>
      </c>
      <c r="F172" s="97">
        <f t="shared" si="52"/>
        <v>675</v>
      </c>
      <c r="G172" s="97">
        <f t="shared" si="52"/>
        <v>700</v>
      </c>
      <c r="H172" s="97">
        <f t="shared" si="52"/>
        <v>750</v>
      </c>
      <c r="I172" s="97">
        <f t="shared" si="52"/>
        <v>800</v>
      </c>
      <c r="J172" s="97">
        <f t="shared" si="52"/>
        <v>750</v>
      </c>
      <c r="K172" s="97">
        <f t="shared" si="52"/>
        <v>700</v>
      </c>
      <c r="L172" s="97">
        <f t="shared" si="52"/>
        <v>650</v>
      </c>
      <c r="M172" s="97">
        <f t="shared" si="52"/>
        <v>625</v>
      </c>
      <c r="N172" s="97">
        <f t="shared" si="52"/>
        <v>600</v>
      </c>
      <c r="O172" s="2"/>
      <c r="P172" s="2"/>
      <c r="Q172" s="2"/>
      <c r="R172" s="2"/>
      <c r="S172" s="2"/>
      <c r="T172" s="2"/>
      <c r="U172" s="2"/>
      <c r="V172" s="2"/>
      <c r="W172" s="2"/>
      <c r="X172" s="2"/>
      <c r="Y172" s="134"/>
      <c r="Z172" s="2"/>
      <c r="AA172" s="2"/>
      <c r="AB172" s="2"/>
      <c r="AC172" s="2"/>
    </row>
    <row r="173" spans="1:29" ht="14">
      <c r="A173" s="141" t="s">
        <v>358</v>
      </c>
      <c r="B173" s="142"/>
      <c r="C173" s="143">
        <f t="shared" ref="C173:N173" si="53">SUM(C37+C40+C43+C46+C49+C52+C55+C58+C61+C64+C67+C70+C73+C76+C79+C82+C85+C88+C91+C94+C97+C100+C103+C106+C109+C112+C115+C118+C121+C124+C127+C130+C133+C136+C139+C142+C145+C148+C151+C154+C157+C160+C163+C166+C169+C172)</f>
        <v>86210</v>
      </c>
      <c r="D173" s="143">
        <f t="shared" si="53"/>
        <v>86061</v>
      </c>
      <c r="E173" s="143">
        <f t="shared" si="53"/>
        <v>86219</v>
      </c>
      <c r="F173" s="143">
        <f t="shared" si="53"/>
        <v>86534</v>
      </c>
      <c r="G173" s="143">
        <f t="shared" si="53"/>
        <v>87830</v>
      </c>
      <c r="H173" s="143">
        <f t="shared" si="53"/>
        <v>87917</v>
      </c>
      <c r="I173" s="143">
        <f t="shared" si="53"/>
        <v>87450</v>
      </c>
      <c r="J173" s="143">
        <f t="shared" si="53"/>
        <v>87561</v>
      </c>
      <c r="K173" s="143">
        <f t="shared" si="53"/>
        <v>87964</v>
      </c>
      <c r="L173" s="143">
        <f t="shared" si="53"/>
        <v>88219</v>
      </c>
      <c r="M173" s="143">
        <f t="shared" si="53"/>
        <v>88244</v>
      </c>
      <c r="N173" s="144">
        <f t="shared" si="53"/>
        <v>88209</v>
      </c>
      <c r="O173" s="2"/>
      <c r="P173" s="2"/>
      <c r="Q173" s="2"/>
      <c r="R173" s="2"/>
      <c r="S173" s="2"/>
      <c r="T173" s="2"/>
      <c r="U173" s="2"/>
      <c r="V173" s="2"/>
      <c r="W173" s="2"/>
      <c r="X173" s="2"/>
      <c r="Y173" s="134"/>
      <c r="Z173" s="2"/>
      <c r="AA173" s="2"/>
      <c r="AB173" s="2"/>
      <c r="AC173" s="2"/>
    </row>
    <row r="174" spans="1:29" ht="14">
      <c r="A174" s="2"/>
      <c r="B174" s="2"/>
      <c r="C174" s="145"/>
      <c r="D174" s="145"/>
      <c r="E174" s="145"/>
      <c r="F174" s="145"/>
      <c r="G174" s="145"/>
      <c r="H174" s="145"/>
      <c r="I174" s="145"/>
      <c r="J174" s="145"/>
      <c r="K174" s="145"/>
      <c r="L174" s="145"/>
      <c r="M174" s="145"/>
      <c r="N174" s="145"/>
      <c r="O174" s="2"/>
      <c r="P174" s="2"/>
      <c r="Q174" s="2"/>
      <c r="R174" s="2"/>
      <c r="S174" s="2"/>
      <c r="T174" s="2"/>
      <c r="U174" s="2"/>
      <c r="V174" s="2"/>
      <c r="W174" s="2"/>
      <c r="X174" s="2"/>
      <c r="Y174" s="2"/>
      <c r="Z174" s="2"/>
      <c r="AA174" s="2"/>
      <c r="AB174" s="2"/>
      <c r="AC174" s="2"/>
    </row>
    <row r="175" spans="1:29" ht="14">
      <c r="A175" s="2"/>
      <c r="B175" s="2"/>
      <c r="C175" s="71"/>
      <c r="D175" s="71"/>
      <c r="E175" s="71"/>
      <c r="F175" s="71"/>
      <c r="G175" s="71"/>
      <c r="H175" s="71"/>
      <c r="I175" s="71"/>
      <c r="J175" s="71"/>
      <c r="K175" s="71"/>
      <c r="L175" s="71"/>
      <c r="M175" s="71"/>
      <c r="N175" s="71"/>
      <c r="O175" s="2"/>
      <c r="P175" s="2"/>
      <c r="Q175" s="2"/>
      <c r="R175" s="2"/>
      <c r="S175" s="2"/>
      <c r="T175" s="2"/>
      <c r="U175" s="2"/>
      <c r="V175" s="2"/>
      <c r="W175" s="2"/>
      <c r="X175" s="2"/>
      <c r="Y175" s="2"/>
      <c r="Z175" s="2"/>
      <c r="AA175" s="2"/>
      <c r="AB175" s="2"/>
      <c r="AC175" s="2"/>
    </row>
    <row r="176" spans="1:29" ht="14">
      <c r="A176" s="2"/>
      <c r="B176" s="2"/>
      <c r="C176" s="71"/>
      <c r="D176" s="71"/>
      <c r="E176" s="71"/>
      <c r="F176" s="71"/>
      <c r="G176" s="71"/>
      <c r="H176" s="71"/>
      <c r="I176" s="71"/>
      <c r="J176" s="71"/>
      <c r="K176" s="71"/>
      <c r="L176" s="71"/>
      <c r="M176" s="71"/>
      <c r="N176" s="71"/>
      <c r="O176" s="2"/>
      <c r="P176" s="2"/>
      <c r="Q176" s="2"/>
      <c r="R176" s="2"/>
      <c r="S176" s="2"/>
      <c r="T176" s="2"/>
      <c r="U176" s="2"/>
      <c r="V176" s="2"/>
      <c r="W176" s="2"/>
      <c r="X176" s="2"/>
      <c r="Y176" s="2"/>
      <c r="Z176" s="2"/>
      <c r="AA176" s="2"/>
      <c r="AB176" s="2"/>
      <c r="AC176" s="2"/>
    </row>
    <row r="177" spans="1:29" ht="14">
      <c r="A177" s="2"/>
      <c r="B177" s="2"/>
      <c r="C177" s="71"/>
      <c r="D177" s="71"/>
      <c r="E177" s="71"/>
      <c r="F177" s="71"/>
      <c r="G177" s="71"/>
      <c r="H177" s="71"/>
      <c r="I177" s="71"/>
      <c r="J177" s="71"/>
      <c r="K177" s="71"/>
      <c r="L177" s="71"/>
      <c r="M177" s="71"/>
      <c r="N177" s="71"/>
      <c r="O177" s="2"/>
      <c r="P177" s="2"/>
      <c r="Q177" s="2"/>
      <c r="R177" s="2"/>
      <c r="S177" s="2"/>
      <c r="T177" s="2"/>
      <c r="U177" s="2"/>
      <c r="V177" s="2"/>
      <c r="W177" s="2"/>
      <c r="X177" s="2"/>
      <c r="Y177" s="2"/>
      <c r="Z177" s="2"/>
      <c r="AA177" s="2"/>
      <c r="AB177" s="2"/>
      <c r="AC177" s="2"/>
    </row>
    <row r="178" spans="1:29" ht="14">
      <c r="A178" s="2"/>
      <c r="B178" s="2"/>
      <c r="C178" s="71"/>
      <c r="D178" s="71"/>
      <c r="E178" s="71"/>
      <c r="F178" s="71"/>
      <c r="G178" s="71"/>
      <c r="H178" s="71"/>
      <c r="I178" s="71"/>
      <c r="J178" s="71"/>
      <c r="K178" s="71"/>
      <c r="L178" s="71"/>
      <c r="M178" s="71"/>
      <c r="N178" s="71"/>
      <c r="O178" s="2"/>
      <c r="P178" s="2"/>
      <c r="Q178" s="2"/>
      <c r="R178" s="2"/>
      <c r="S178" s="2"/>
      <c r="T178" s="2"/>
      <c r="U178" s="2"/>
      <c r="V178" s="2"/>
      <c r="W178" s="2"/>
      <c r="X178" s="2"/>
      <c r="Y178" s="2"/>
      <c r="Z178" s="2"/>
      <c r="AA178" s="2"/>
      <c r="AB178" s="2"/>
      <c r="AC178" s="2"/>
    </row>
    <row r="179" spans="1:29" ht="14">
      <c r="A179" s="2"/>
      <c r="B179" s="2"/>
      <c r="C179" s="71"/>
      <c r="D179" s="71"/>
      <c r="E179" s="71"/>
      <c r="F179" s="71"/>
      <c r="G179" s="71"/>
      <c r="H179" s="71"/>
      <c r="I179" s="71"/>
      <c r="J179" s="71"/>
      <c r="K179" s="71"/>
      <c r="L179" s="71"/>
      <c r="M179" s="71"/>
      <c r="N179" s="71"/>
      <c r="O179" s="2"/>
      <c r="P179" s="2"/>
      <c r="Q179" s="2"/>
      <c r="R179" s="2"/>
      <c r="S179" s="2"/>
      <c r="T179" s="2"/>
      <c r="U179" s="2"/>
      <c r="V179" s="2"/>
      <c r="W179" s="2"/>
      <c r="X179" s="2"/>
      <c r="Y179" s="2"/>
      <c r="Z179" s="2"/>
      <c r="AA179" s="2"/>
      <c r="AB179" s="2"/>
      <c r="AC179" s="2"/>
    </row>
    <row r="180" spans="1:29" ht="14">
      <c r="A180" s="2"/>
      <c r="B180" s="2"/>
      <c r="C180" s="71"/>
      <c r="D180" s="71"/>
      <c r="E180" s="71"/>
      <c r="F180" s="71"/>
      <c r="G180" s="71"/>
      <c r="H180" s="71"/>
      <c r="I180" s="71"/>
      <c r="J180" s="71"/>
      <c r="K180" s="71"/>
      <c r="L180" s="71"/>
      <c r="M180" s="71"/>
      <c r="N180" s="71"/>
      <c r="O180" s="2"/>
      <c r="P180" s="2"/>
      <c r="Q180" s="2"/>
      <c r="R180" s="2"/>
      <c r="S180" s="2"/>
      <c r="T180" s="2"/>
      <c r="U180" s="2"/>
      <c r="V180" s="2"/>
      <c r="W180" s="2"/>
      <c r="X180" s="2"/>
      <c r="Y180" s="2"/>
      <c r="Z180" s="2"/>
      <c r="AA180" s="2"/>
      <c r="AB180" s="2"/>
      <c r="AC180" s="2"/>
    </row>
    <row r="181" spans="1:29" ht="14">
      <c r="A181" s="2"/>
      <c r="B181" s="2"/>
      <c r="C181" s="71"/>
      <c r="D181" s="71"/>
      <c r="E181" s="71"/>
      <c r="F181" s="71"/>
      <c r="G181" s="71"/>
      <c r="H181" s="71"/>
      <c r="I181" s="71"/>
      <c r="J181" s="71"/>
      <c r="K181" s="71"/>
      <c r="L181" s="71"/>
      <c r="M181" s="71"/>
      <c r="N181" s="71"/>
      <c r="O181" s="2"/>
      <c r="P181" s="2"/>
      <c r="Q181" s="2"/>
      <c r="R181" s="2"/>
      <c r="S181" s="2"/>
      <c r="T181" s="2"/>
      <c r="U181" s="2"/>
      <c r="V181" s="2"/>
      <c r="W181" s="2"/>
      <c r="X181" s="2"/>
      <c r="Y181" s="2"/>
      <c r="Z181" s="2"/>
      <c r="AA181" s="2"/>
      <c r="AB181" s="2"/>
      <c r="AC181" s="2"/>
    </row>
    <row r="182" spans="1:29" ht="14">
      <c r="A182" s="2"/>
      <c r="B182" s="2"/>
      <c r="C182" s="71"/>
      <c r="D182" s="71"/>
      <c r="E182" s="71"/>
      <c r="F182" s="71"/>
      <c r="G182" s="71"/>
      <c r="H182" s="71"/>
      <c r="I182" s="71"/>
      <c r="J182" s="71"/>
      <c r="K182" s="71"/>
      <c r="L182" s="71"/>
      <c r="M182" s="71"/>
      <c r="N182" s="71"/>
      <c r="O182" s="2"/>
      <c r="P182" s="2"/>
      <c r="Q182" s="2"/>
      <c r="R182" s="2"/>
      <c r="S182" s="2"/>
      <c r="T182" s="2"/>
      <c r="U182" s="2"/>
      <c r="V182" s="2"/>
      <c r="W182" s="2"/>
      <c r="X182" s="2"/>
      <c r="Y182" s="2"/>
      <c r="Z182" s="2"/>
      <c r="AA182" s="2"/>
      <c r="AB182" s="2"/>
      <c r="AC182" s="2"/>
    </row>
    <row r="183" spans="1:29" ht="14">
      <c r="A183" s="2"/>
      <c r="B183" s="2"/>
      <c r="C183" s="71"/>
      <c r="D183" s="71"/>
      <c r="E183" s="71"/>
      <c r="F183" s="71"/>
      <c r="G183" s="71"/>
      <c r="H183" s="71"/>
      <c r="I183" s="71"/>
      <c r="J183" s="71"/>
      <c r="K183" s="71"/>
      <c r="L183" s="71"/>
      <c r="M183" s="71"/>
      <c r="N183" s="71"/>
      <c r="O183" s="2"/>
      <c r="P183" s="2"/>
      <c r="Q183" s="2"/>
      <c r="R183" s="2"/>
      <c r="S183" s="2"/>
      <c r="T183" s="2"/>
      <c r="U183" s="2"/>
      <c r="V183" s="2"/>
      <c r="W183" s="2"/>
      <c r="X183" s="2"/>
      <c r="Y183" s="2"/>
      <c r="Z183" s="2"/>
      <c r="AA183" s="2"/>
      <c r="AB183" s="2"/>
      <c r="AC183" s="2"/>
    </row>
    <row r="184" spans="1:29" ht="14">
      <c r="A184" s="2"/>
      <c r="B184" s="2"/>
      <c r="C184" s="71"/>
      <c r="D184" s="71"/>
      <c r="E184" s="71"/>
      <c r="F184" s="71"/>
      <c r="G184" s="71"/>
      <c r="H184" s="71"/>
      <c r="I184" s="71"/>
      <c r="J184" s="71"/>
      <c r="K184" s="71"/>
      <c r="L184" s="71"/>
      <c r="M184" s="71"/>
      <c r="N184" s="71"/>
      <c r="O184" s="2"/>
      <c r="P184" s="2"/>
      <c r="Q184" s="2"/>
      <c r="R184" s="2"/>
      <c r="S184" s="2"/>
      <c r="T184" s="2"/>
      <c r="U184" s="2"/>
      <c r="V184" s="2"/>
      <c r="W184" s="2"/>
      <c r="X184" s="2"/>
      <c r="Y184" s="2"/>
      <c r="Z184" s="2"/>
      <c r="AA184" s="2"/>
      <c r="AB184" s="2"/>
      <c r="AC184" s="2"/>
    </row>
    <row r="185" spans="1:29" ht="14">
      <c r="A185" s="2"/>
      <c r="B185" s="2"/>
      <c r="C185" s="71"/>
      <c r="D185" s="71"/>
      <c r="E185" s="71"/>
      <c r="F185" s="71"/>
      <c r="G185" s="71"/>
      <c r="H185" s="71"/>
      <c r="I185" s="71"/>
      <c r="J185" s="71"/>
      <c r="K185" s="71"/>
      <c r="L185" s="71"/>
      <c r="M185" s="71"/>
      <c r="N185" s="71"/>
      <c r="O185" s="2"/>
      <c r="P185" s="2"/>
      <c r="Q185" s="2"/>
      <c r="R185" s="2"/>
      <c r="S185" s="2"/>
      <c r="T185" s="2"/>
      <c r="U185" s="2"/>
      <c r="V185" s="2"/>
      <c r="W185" s="2"/>
      <c r="X185" s="2"/>
      <c r="Y185" s="2"/>
      <c r="Z185" s="2"/>
      <c r="AA185" s="2"/>
      <c r="AB185" s="2"/>
      <c r="AC185" s="2"/>
    </row>
    <row r="186" spans="1:29" ht="14">
      <c r="A186" s="2"/>
      <c r="B186" s="2"/>
      <c r="C186" s="71"/>
      <c r="D186" s="71"/>
      <c r="E186" s="71"/>
      <c r="F186" s="71"/>
      <c r="G186" s="71"/>
      <c r="H186" s="71"/>
      <c r="I186" s="71"/>
      <c r="J186" s="71"/>
      <c r="K186" s="71"/>
      <c r="L186" s="71"/>
      <c r="M186" s="71"/>
      <c r="N186" s="71"/>
      <c r="O186" s="2"/>
      <c r="P186" s="2"/>
      <c r="Q186" s="2"/>
      <c r="R186" s="2"/>
      <c r="S186" s="2"/>
      <c r="T186" s="2"/>
      <c r="U186" s="2"/>
      <c r="V186" s="2"/>
      <c r="W186" s="2"/>
      <c r="X186" s="2"/>
      <c r="Y186" s="2"/>
      <c r="Z186" s="2"/>
      <c r="AA186" s="2"/>
      <c r="AB186" s="2"/>
      <c r="AC186" s="2"/>
    </row>
    <row r="187" spans="1:29" ht="14">
      <c r="A187" s="2"/>
      <c r="B187" s="2"/>
      <c r="C187" s="71"/>
      <c r="D187" s="71"/>
      <c r="E187" s="71"/>
      <c r="F187" s="71"/>
      <c r="G187" s="71"/>
      <c r="H187" s="71"/>
      <c r="I187" s="71"/>
      <c r="J187" s="71"/>
      <c r="K187" s="71"/>
      <c r="L187" s="71"/>
      <c r="M187" s="71"/>
      <c r="N187" s="71"/>
      <c r="O187" s="2"/>
      <c r="P187" s="2"/>
      <c r="Q187" s="2"/>
      <c r="R187" s="2"/>
      <c r="S187" s="2"/>
      <c r="T187" s="2"/>
      <c r="U187" s="2"/>
      <c r="V187" s="2"/>
      <c r="W187" s="2"/>
      <c r="X187" s="2"/>
      <c r="Y187" s="2"/>
      <c r="Z187" s="2"/>
      <c r="AA187" s="2"/>
      <c r="AB187" s="2"/>
      <c r="AC187" s="2"/>
    </row>
    <row r="188" spans="1:29" ht="1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4">
      <c r="O966" s="2"/>
      <c r="P966" s="2"/>
      <c r="Q966" s="2"/>
      <c r="R966" s="2"/>
      <c r="S966" s="2"/>
      <c r="T966" s="2"/>
      <c r="U966" s="2"/>
      <c r="V966" s="2"/>
      <c r="W966" s="2"/>
      <c r="X966" s="2"/>
      <c r="Y966" s="2"/>
      <c r="Z966" s="2"/>
      <c r="AA966" s="2"/>
      <c r="AB966" s="2"/>
      <c r="AC966" s="2"/>
    </row>
    <row r="967" spans="1:29" ht="14">
      <c r="Y967" s="2"/>
      <c r="Z967" s="2"/>
      <c r="AA967" s="2"/>
      <c r="AB967" s="2"/>
      <c r="AC967" s="2"/>
    </row>
    <row r="968" spans="1:29" ht="14">
      <c r="Y968" s="2"/>
      <c r="Z968" s="2"/>
      <c r="AA968" s="2"/>
      <c r="AB968" s="2"/>
      <c r="AC968" s="2"/>
    </row>
    <row r="969" spans="1:29" ht="14">
      <c r="Y969" s="2"/>
      <c r="Z969" s="2"/>
      <c r="AA969" s="2"/>
      <c r="AB969" s="2"/>
      <c r="AC969" s="2"/>
    </row>
    <row r="970" spans="1:29" ht="14">
      <c r="Y970" s="2"/>
      <c r="Z970" s="2"/>
      <c r="AA970" s="2"/>
      <c r="AB970" s="2"/>
      <c r="AC970" s="2"/>
    </row>
    <row r="971" spans="1:29" ht="14">
      <c r="Y971" s="2"/>
      <c r="Z971" s="2"/>
      <c r="AA971" s="2"/>
      <c r="AB971" s="2"/>
      <c r="AC971" s="2"/>
    </row>
    <row r="972" spans="1:29" ht="14">
      <c r="Y972" s="2"/>
      <c r="Z972" s="2"/>
      <c r="AA972" s="2"/>
      <c r="AB972" s="2"/>
      <c r="AC972" s="2"/>
    </row>
    <row r="973" spans="1:29" ht="14">
      <c r="Y973" s="2"/>
      <c r="Z973" s="2"/>
      <c r="AA973" s="2"/>
      <c r="AB973" s="2"/>
      <c r="AC973" s="2"/>
    </row>
    <row r="974" spans="1:29" ht="14">
      <c r="Y974" s="2"/>
      <c r="Z974" s="2"/>
      <c r="AA974" s="2"/>
      <c r="AB974" s="2"/>
      <c r="AC974" s="2"/>
    </row>
    <row r="975" spans="1:29" ht="14">
      <c r="Y975" s="2"/>
      <c r="Z975" s="2"/>
      <c r="AA975" s="2"/>
      <c r="AB975" s="2"/>
      <c r="AC975" s="2"/>
    </row>
    <row r="976" spans="1:29" ht="14">
      <c r="Y976" s="2"/>
      <c r="Z976" s="2"/>
      <c r="AA976" s="2"/>
      <c r="AB976" s="2"/>
      <c r="AC976" s="2"/>
    </row>
    <row r="977" spans="25:29" ht="14">
      <c r="Y977" s="2"/>
      <c r="Z977" s="2"/>
      <c r="AA977" s="2"/>
      <c r="AB977" s="2"/>
      <c r="AC977" s="2"/>
    </row>
    <row r="978" spans="25:29" ht="14">
      <c r="Y978" s="2"/>
      <c r="Z978" s="2"/>
      <c r="AA978" s="2"/>
      <c r="AB978" s="2"/>
      <c r="AC978" s="2"/>
    </row>
    <row r="979" spans="25:29" ht="14">
      <c r="Y979" s="2"/>
      <c r="Z979" s="2"/>
      <c r="AA979" s="2"/>
      <c r="AB979" s="2"/>
      <c r="AC979" s="2"/>
    </row>
    <row r="980" spans="25:29" ht="14">
      <c r="Y980" s="2"/>
      <c r="Z980" s="2"/>
      <c r="AA980" s="2"/>
      <c r="AB980" s="2"/>
      <c r="AC980" s="2"/>
    </row>
    <row r="981" spans="25:29" ht="14">
      <c r="Y981" s="2"/>
      <c r="Z981" s="2"/>
      <c r="AA981" s="2"/>
      <c r="AB981" s="2"/>
      <c r="AC981" s="2"/>
    </row>
  </sheetData>
  <mergeCells count="18">
    <mergeCell ref="A34:B34"/>
    <mergeCell ref="A4:A5"/>
    <mergeCell ref="B4:M4"/>
    <mergeCell ref="P4:P5"/>
    <mergeCell ref="Q4:Q5"/>
    <mergeCell ref="B22:M22"/>
    <mergeCell ref="A28:A29"/>
    <mergeCell ref="B28:M28"/>
    <mergeCell ref="B32:M32"/>
    <mergeCell ref="B33:M33"/>
    <mergeCell ref="V4:V5"/>
    <mergeCell ref="W4:W5"/>
    <mergeCell ref="X4:X5"/>
    <mergeCell ref="Y4:Y5"/>
    <mergeCell ref="B15:M15"/>
    <mergeCell ref="R4:R5"/>
    <mergeCell ref="S4:S5"/>
    <mergeCell ref="U4:U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32"/>
  <sheetViews>
    <sheetView workbookViewId="0"/>
  </sheetViews>
  <sheetFormatPr defaultColWidth="12.6328125" defaultRowHeight="15.75" customHeight="1"/>
  <cols>
    <col min="3" max="3" width="35.08984375" customWidth="1"/>
    <col min="7" max="7" width="36.7265625" customWidth="1"/>
    <col min="8" max="8" width="26.36328125" customWidth="1"/>
    <col min="9" max="9" width="26.90625" customWidth="1"/>
  </cols>
  <sheetData>
    <row r="1" spans="1:9" ht="13">
      <c r="A1" s="3"/>
    </row>
    <row r="3" spans="1:9" ht="16.5">
      <c r="B3" s="5"/>
      <c r="C3" s="7" t="s">
        <v>3</v>
      </c>
      <c r="D3" s="7"/>
    </row>
    <row r="4" spans="1:9" ht="16.5">
      <c r="B4" s="9"/>
    </row>
    <row r="5" spans="1:9" ht="66">
      <c r="B5" s="13" t="s">
        <v>9</v>
      </c>
      <c r="C5" s="13" t="s">
        <v>10</v>
      </c>
      <c r="D5" s="13" t="s">
        <v>12</v>
      </c>
      <c r="E5" s="13" t="s">
        <v>13</v>
      </c>
      <c r="F5" s="15"/>
      <c r="G5" s="15"/>
      <c r="H5" s="15"/>
      <c r="I5" s="15"/>
    </row>
    <row r="6" spans="1:9" ht="16.5">
      <c r="B6" s="13">
        <v>1</v>
      </c>
      <c r="C6" s="13" t="s">
        <v>16</v>
      </c>
      <c r="D6" s="13">
        <v>30</v>
      </c>
      <c r="E6" s="13">
        <v>35</v>
      </c>
    </row>
    <row r="7" spans="1:9" ht="16.5">
      <c r="B7" s="13">
        <v>2</v>
      </c>
      <c r="C7" s="13" t="s">
        <v>18</v>
      </c>
      <c r="D7" s="13">
        <v>35</v>
      </c>
      <c r="E7" s="13">
        <v>38</v>
      </c>
    </row>
    <row r="8" spans="1:9" ht="16.5">
      <c r="B8" s="13">
        <v>3</v>
      </c>
      <c r="C8" s="13" t="s">
        <v>21</v>
      </c>
      <c r="D8" s="13">
        <v>33</v>
      </c>
      <c r="E8" s="13">
        <v>35</v>
      </c>
    </row>
    <row r="9" spans="1:9" ht="16.5">
      <c r="B9" s="13">
        <v>4</v>
      </c>
      <c r="C9" s="13" t="s">
        <v>22</v>
      </c>
      <c r="D9" s="13">
        <v>35</v>
      </c>
      <c r="E9" s="13">
        <v>35</v>
      </c>
    </row>
    <row r="10" spans="1:9" ht="16.5">
      <c r="B10" s="13">
        <v>5</v>
      </c>
      <c r="C10" s="13" t="s">
        <v>23</v>
      </c>
      <c r="D10" s="13">
        <v>38</v>
      </c>
      <c r="E10" s="13">
        <v>40</v>
      </c>
    </row>
    <row r="11" spans="1:9" ht="16.5">
      <c r="B11" s="13">
        <v>6</v>
      </c>
      <c r="C11" s="13" t="s">
        <v>25</v>
      </c>
      <c r="D11" s="13">
        <v>42</v>
      </c>
      <c r="E11" s="13">
        <v>55</v>
      </c>
    </row>
    <row r="12" spans="1:9" ht="16.5">
      <c r="B12" s="13">
        <v>7</v>
      </c>
      <c r="C12" s="13" t="s">
        <v>27</v>
      </c>
      <c r="D12" s="13">
        <v>40</v>
      </c>
      <c r="E12" s="13">
        <v>55</v>
      </c>
    </row>
    <row r="13" spans="1:9" ht="16.5">
      <c r="B13" s="13">
        <v>8</v>
      </c>
      <c r="C13" s="13" t="s">
        <v>30</v>
      </c>
      <c r="D13" s="13">
        <v>38</v>
      </c>
      <c r="E13" s="13">
        <v>50</v>
      </c>
    </row>
    <row r="14" spans="1:9" ht="16.5">
      <c r="B14" s="13">
        <v>9</v>
      </c>
      <c r="C14" s="13" t="s">
        <v>32</v>
      </c>
      <c r="D14" s="13">
        <v>45</v>
      </c>
      <c r="E14" s="13">
        <v>45</v>
      </c>
    </row>
    <row r="15" spans="1:9" ht="19.5" customHeight="1">
      <c r="B15" s="13">
        <v>10</v>
      </c>
      <c r="C15" s="13" t="s">
        <v>34</v>
      </c>
      <c r="D15" s="13">
        <v>45</v>
      </c>
      <c r="E15" s="13">
        <v>55</v>
      </c>
    </row>
    <row r="16" spans="1:9" ht="21.75" customHeight="1">
      <c r="B16" s="13">
        <v>11</v>
      </c>
      <c r="C16" s="13" t="s">
        <v>36</v>
      </c>
      <c r="D16" s="13">
        <v>45</v>
      </c>
      <c r="E16" s="13">
        <v>55</v>
      </c>
    </row>
    <row r="17" spans="2:5" ht="20.25" customHeight="1">
      <c r="B17" s="13">
        <v>12</v>
      </c>
      <c r="C17" s="13" t="s">
        <v>38</v>
      </c>
      <c r="D17" s="13">
        <v>30</v>
      </c>
      <c r="E17" s="13">
        <v>45</v>
      </c>
    </row>
    <row r="18" spans="2:5" ht="19.5" customHeight="1">
      <c r="B18" s="13">
        <v>13</v>
      </c>
      <c r="C18" s="13" t="s">
        <v>41</v>
      </c>
      <c r="D18" s="13">
        <v>40</v>
      </c>
      <c r="E18" s="13">
        <v>50</v>
      </c>
    </row>
    <row r="19" spans="2:5" ht="21" customHeight="1">
      <c r="B19" s="13">
        <v>14</v>
      </c>
      <c r="C19" s="20" t="s">
        <v>42</v>
      </c>
      <c r="D19" s="13">
        <v>40</v>
      </c>
      <c r="E19" s="13">
        <v>48</v>
      </c>
    </row>
    <row r="20" spans="2:5" ht="21" customHeight="1">
      <c r="B20" s="13">
        <v>15</v>
      </c>
      <c r="C20" s="20" t="s">
        <v>51</v>
      </c>
      <c r="D20" s="13">
        <v>40</v>
      </c>
      <c r="E20" s="13" t="s">
        <v>52</v>
      </c>
    </row>
    <row r="21" spans="2:5" ht="19.5" customHeight="1">
      <c r="B21" s="13">
        <v>16</v>
      </c>
      <c r="C21" s="20" t="s">
        <v>53</v>
      </c>
      <c r="D21" s="13">
        <v>40</v>
      </c>
      <c r="E21" s="13">
        <v>45</v>
      </c>
    </row>
    <row r="22" spans="2:5" ht="20.25" customHeight="1">
      <c r="B22" s="13">
        <v>17</v>
      </c>
      <c r="C22" s="20" t="s">
        <v>54</v>
      </c>
      <c r="D22" s="13">
        <v>35</v>
      </c>
      <c r="E22" s="13">
        <v>50</v>
      </c>
    </row>
    <row r="23" spans="2:5" ht="22.5" customHeight="1">
      <c r="B23" s="13">
        <v>18</v>
      </c>
      <c r="C23" s="20" t="s">
        <v>57</v>
      </c>
      <c r="D23" s="13">
        <v>45</v>
      </c>
      <c r="E23" s="13">
        <v>55</v>
      </c>
    </row>
    <row r="24" spans="2:5" ht="19.5" customHeight="1">
      <c r="B24" s="13">
        <v>19</v>
      </c>
      <c r="C24" s="20" t="s">
        <v>59</v>
      </c>
      <c r="D24" s="13">
        <v>35</v>
      </c>
      <c r="E24" s="13">
        <v>40</v>
      </c>
    </row>
    <row r="25" spans="2:5" ht="16.5">
      <c r="B25" s="13">
        <v>20</v>
      </c>
      <c r="C25" s="20" t="s">
        <v>67</v>
      </c>
      <c r="D25" s="13">
        <v>45</v>
      </c>
      <c r="E25" s="13">
        <v>48</v>
      </c>
    </row>
    <row r="26" spans="2:5" ht="16.5">
      <c r="B26" s="13">
        <v>21</v>
      </c>
      <c r="C26" s="20" t="s">
        <v>77</v>
      </c>
      <c r="D26" s="13">
        <v>35</v>
      </c>
      <c r="E26" s="13">
        <v>40</v>
      </c>
    </row>
    <row r="27" spans="2:5" ht="16.5">
      <c r="B27" s="13">
        <v>22</v>
      </c>
      <c r="C27" s="24" t="s">
        <v>79</v>
      </c>
      <c r="D27" s="13">
        <v>35</v>
      </c>
      <c r="E27" s="13">
        <v>42</v>
      </c>
    </row>
    <row r="28" spans="2:5" ht="16.5">
      <c r="B28" s="13">
        <v>23</v>
      </c>
      <c r="C28" s="20" t="s">
        <v>81</v>
      </c>
      <c r="D28" s="13">
        <v>45</v>
      </c>
      <c r="E28" s="13">
        <v>52</v>
      </c>
    </row>
    <row r="29" spans="2:5" ht="16.5">
      <c r="B29" s="13">
        <v>24</v>
      </c>
      <c r="C29" s="20" t="s">
        <v>82</v>
      </c>
      <c r="D29" s="13">
        <v>35</v>
      </c>
      <c r="E29" s="13">
        <v>38</v>
      </c>
    </row>
    <row r="30" spans="2:5" ht="16.5">
      <c r="B30" s="13">
        <v>25</v>
      </c>
      <c r="C30" s="20" t="s">
        <v>83</v>
      </c>
      <c r="D30" s="13">
        <v>30</v>
      </c>
      <c r="E30" s="13">
        <v>35</v>
      </c>
    </row>
    <row r="31" spans="2:5" ht="16.5">
      <c r="B31" s="13">
        <v>26</v>
      </c>
      <c r="C31" s="20" t="s">
        <v>84</v>
      </c>
      <c r="D31" s="13">
        <v>30</v>
      </c>
      <c r="E31" s="13">
        <v>35</v>
      </c>
    </row>
    <row r="32" spans="2:5" ht="16.5">
      <c r="B32" s="13">
        <v>27</v>
      </c>
      <c r="C32" s="13" t="s">
        <v>87</v>
      </c>
      <c r="D32" s="13">
        <v>100</v>
      </c>
      <c r="E32" s="13">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5"/>
  <sheetViews>
    <sheetView workbookViewId="0"/>
  </sheetViews>
  <sheetFormatPr defaultColWidth="12.6328125" defaultRowHeight="15.75" customHeight="1"/>
  <cols>
    <col min="1" max="1" width="25.08984375" customWidth="1"/>
  </cols>
  <sheetData>
    <row r="1" spans="1:14" ht="13.5">
      <c r="A1" s="158" t="s">
        <v>10</v>
      </c>
      <c r="B1" s="159" t="s">
        <v>88</v>
      </c>
      <c r="C1" s="160" t="s">
        <v>15</v>
      </c>
      <c r="D1" s="149"/>
      <c r="E1" s="149"/>
      <c r="F1" s="149"/>
      <c r="G1" s="149"/>
      <c r="H1" s="149"/>
      <c r="I1" s="149"/>
      <c r="J1" s="149"/>
      <c r="K1" s="149"/>
      <c r="L1" s="149"/>
      <c r="M1" s="149"/>
      <c r="N1" s="150"/>
    </row>
    <row r="2" spans="1:14" ht="15.5">
      <c r="A2" s="147"/>
      <c r="B2" s="147"/>
      <c r="C2" s="30" t="s">
        <v>56</v>
      </c>
      <c r="D2" s="30" t="s">
        <v>61</v>
      </c>
      <c r="E2" s="30" t="s">
        <v>62</v>
      </c>
      <c r="F2" s="30" t="s">
        <v>65</v>
      </c>
      <c r="G2" s="30" t="s">
        <v>68</v>
      </c>
      <c r="H2" s="30" t="s">
        <v>70</v>
      </c>
      <c r="I2" s="30" t="s">
        <v>71</v>
      </c>
      <c r="J2" s="30" t="s">
        <v>72</v>
      </c>
      <c r="K2" s="30" t="s">
        <v>73</v>
      </c>
      <c r="L2" s="30" t="s">
        <v>74</v>
      </c>
      <c r="M2" s="30" t="s">
        <v>75</v>
      </c>
      <c r="N2" s="30" t="s">
        <v>76</v>
      </c>
    </row>
    <row r="3" spans="1:14" ht="15.5">
      <c r="A3" s="161" t="s">
        <v>16</v>
      </c>
      <c r="B3" s="14" t="s">
        <v>92</v>
      </c>
      <c r="C3" s="35">
        <v>750</v>
      </c>
      <c r="D3" s="35">
        <v>850</v>
      </c>
      <c r="E3" s="35">
        <v>755</v>
      </c>
      <c r="F3" s="35">
        <v>1200</v>
      </c>
      <c r="G3" s="35">
        <v>1222</v>
      </c>
      <c r="H3" s="35">
        <v>1250</v>
      </c>
      <c r="I3" s="35">
        <v>1224</v>
      </c>
      <c r="J3" s="35">
        <v>1125</v>
      </c>
      <c r="K3" s="35">
        <v>1185</v>
      </c>
      <c r="L3" s="35">
        <v>1195</v>
      </c>
      <c r="M3" s="35">
        <v>1191</v>
      </c>
      <c r="N3" s="35">
        <v>1100</v>
      </c>
    </row>
    <row r="4" spans="1:14" ht="31">
      <c r="A4" s="162"/>
      <c r="B4" s="14" t="s">
        <v>94</v>
      </c>
      <c r="C4" s="35">
        <v>30</v>
      </c>
      <c r="D4" s="35">
        <v>30</v>
      </c>
      <c r="E4" s="35">
        <v>30</v>
      </c>
      <c r="F4" s="35">
        <v>30</v>
      </c>
      <c r="G4" s="35">
        <v>30</v>
      </c>
      <c r="H4" s="35">
        <v>30</v>
      </c>
      <c r="I4" s="35">
        <v>30</v>
      </c>
      <c r="J4" s="35">
        <v>30</v>
      </c>
      <c r="K4" s="35">
        <v>30</v>
      </c>
      <c r="L4" s="35">
        <v>30</v>
      </c>
      <c r="M4" s="35">
        <v>30</v>
      </c>
      <c r="N4" s="35">
        <v>30</v>
      </c>
    </row>
    <row r="5" spans="1:14" ht="31">
      <c r="A5" s="147"/>
      <c r="B5" s="39" t="s">
        <v>97</v>
      </c>
      <c r="C5" s="41">
        <f t="shared" ref="C5:N5" si="0">PRODUCT(C4,C3)</f>
        <v>22500</v>
      </c>
      <c r="D5" s="41">
        <f t="shared" si="0"/>
        <v>25500</v>
      </c>
      <c r="E5" s="41">
        <f t="shared" si="0"/>
        <v>22650</v>
      </c>
      <c r="F5" s="41">
        <f t="shared" si="0"/>
        <v>36000</v>
      </c>
      <c r="G5" s="41">
        <f t="shared" si="0"/>
        <v>36660</v>
      </c>
      <c r="H5" s="41">
        <f t="shared" si="0"/>
        <v>37500</v>
      </c>
      <c r="I5" s="41">
        <f t="shared" si="0"/>
        <v>36720</v>
      </c>
      <c r="J5" s="41">
        <f t="shared" si="0"/>
        <v>33750</v>
      </c>
      <c r="K5" s="41">
        <f t="shared" si="0"/>
        <v>35550</v>
      </c>
      <c r="L5" s="41">
        <f t="shared" si="0"/>
        <v>35850</v>
      </c>
      <c r="M5" s="41">
        <f t="shared" si="0"/>
        <v>35730</v>
      </c>
      <c r="N5" s="41">
        <f t="shared" si="0"/>
        <v>33000</v>
      </c>
    </row>
    <row r="6" spans="1:14" ht="15.5">
      <c r="A6" s="163" t="s">
        <v>18</v>
      </c>
      <c r="B6" s="14" t="s">
        <v>92</v>
      </c>
      <c r="C6" s="35">
        <v>750</v>
      </c>
      <c r="D6" s="35">
        <v>850</v>
      </c>
      <c r="E6" s="35">
        <v>755</v>
      </c>
      <c r="F6" s="35">
        <v>1200</v>
      </c>
      <c r="G6" s="35">
        <v>1223</v>
      </c>
      <c r="H6" s="35">
        <v>1226</v>
      </c>
      <c r="I6" s="35">
        <v>1227</v>
      </c>
      <c r="J6" s="35">
        <v>1231</v>
      </c>
      <c r="K6" s="35">
        <v>1186</v>
      </c>
      <c r="L6" s="35">
        <v>1187</v>
      </c>
      <c r="M6" s="35">
        <v>1188</v>
      </c>
      <c r="N6" s="35">
        <v>1110</v>
      </c>
    </row>
    <row r="7" spans="1:14" ht="31">
      <c r="A7" s="162"/>
      <c r="B7" s="14" t="s">
        <v>94</v>
      </c>
      <c r="C7" s="35">
        <v>35</v>
      </c>
      <c r="D7" s="35">
        <v>35</v>
      </c>
      <c r="E7" s="35">
        <v>35</v>
      </c>
      <c r="F7" s="35">
        <v>35</v>
      </c>
      <c r="G7" s="35">
        <v>35</v>
      </c>
      <c r="H7" s="35">
        <v>35</v>
      </c>
      <c r="I7" s="35">
        <v>35</v>
      </c>
      <c r="J7" s="35">
        <v>35</v>
      </c>
      <c r="K7" s="35">
        <v>35</v>
      </c>
      <c r="L7" s="35">
        <v>35</v>
      </c>
      <c r="M7" s="35">
        <v>35</v>
      </c>
      <c r="N7" s="35">
        <v>35</v>
      </c>
    </row>
    <row r="8" spans="1:14" ht="31">
      <c r="A8" s="147"/>
      <c r="B8" s="39" t="s">
        <v>97</v>
      </c>
      <c r="C8" s="41">
        <f t="shared" ref="C8:N8" si="1">PRODUCT(C7,C6)</f>
        <v>26250</v>
      </c>
      <c r="D8" s="41">
        <f t="shared" si="1"/>
        <v>29750</v>
      </c>
      <c r="E8" s="41">
        <f t="shared" si="1"/>
        <v>26425</v>
      </c>
      <c r="F8" s="41">
        <f t="shared" si="1"/>
        <v>42000</v>
      </c>
      <c r="G8" s="41">
        <f t="shared" si="1"/>
        <v>42805</v>
      </c>
      <c r="H8" s="41">
        <f t="shared" si="1"/>
        <v>42910</v>
      </c>
      <c r="I8" s="41">
        <f t="shared" si="1"/>
        <v>42945</v>
      </c>
      <c r="J8" s="41">
        <f t="shared" si="1"/>
        <v>43085</v>
      </c>
      <c r="K8" s="41">
        <f t="shared" si="1"/>
        <v>41510</v>
      </c>
      <c r="L8" s="41">
        <f t="shared" si="1"/>
        <v>41545</v>
      </c>
      <c r="M8" s="41">
        <f t="shared" si="1"/>
        <v>41580</v>
      </c>
      <c r="N8" s="41">
        <f t="shared" si="1"/>
        <v>38850</v>
      </c>
    </row>
    <row r="9" spans="1:14" ht="15.5">
      <c r="A9" s="164" t="s">
        <v>21</v>
      </c>
      <c r="B9" s="14" t="s">
        <v>92</v>
      </c>
      <c r="C9" s="35">
        <v>1000</v>
      </c>
      <c r="D9" s="35">
        <v>1110</v>
      </c>
      <c r="E9" s="35">
        <v>1112</v>
      </c>
      <c r="F9" s="35">
        <v>1115</v>
      </c>
      <c r="G9" s="35">
        <v>1120</v>
      </c>
      <c r="H9" s="35">
        <v>1121</v>
      </c>
      <c r="I9" s="35">
        <v>1123</v>
      </c>
      <c r="J9" s="35">
        <v>1125</v>
      </c>
      <c r="K9" s="35">
        <v>1126</v>
      </c>
      <c r="L9" s="35">
        <v>1100</v>
      </c>
      <c r="M9" s="35">
        <v>1110</v>
      </c>
      <c r="N9" s="35">
        <v>1100</v>
      </c>
    </row>
    <row r="10" spans="1:14" ht="31">
      <c r="A10" s="162"/>
      <c r="B10" s="14" t="s">
        <v>94</v>
      </c>
      <c r="C10" s="35">
        <v>33</v>
      </c>
      <c r="D10" s="35">
        <v>33</v>
      </c>
      <c r="E10" s="35">
        <v>33</v>
      </c>
      <c r="F10" s="35">
        <v>33</v>
      </c>
      <c r="G10" s="35">
        <v>33</v>
      </c>
      <c r="H10" s="35">
        <v>33</v>
      </c>
      <c r="I10" s="35">
        <v>33</v>
      </c>
      <c r="J10" s="35">
        <v>33</v>
      </c>
      <c r="K10" s="35">
        <v>33</v>
      </c>
      <c r="L10" s="35">
        <v>33</v>
      </c>
      <c r="M10" s="35">
        <v>33</v>
      </c>
      <c r="N10" s="35">
        <v>33</v>
      </c>
    </row>
    <row r="11" spans="1:14" ht="31">
      <c r="A11" s="147"/>
      <c r="B11" s="39" t="s">
        <v>97</v>
      </c>
      <c r="C11" s="41">
        <f t="shared" ref="C11:N11" si="2">PRODUCT(C10,C9)</f>
        <v>33000</v>
      </c>
      <c r="D11" s="41">
        <f t="shared" si="2"/>
        <v>36630</v>
      </c>
      <c r="E11" s="41">
        <f t="shared" si="2"/>
        <v>36696</v>
      </c>
      <c r="F11" s="41">
        <f t="shared" si="2"/>
        <v>36795</v>
      </c>
      <c r="G11" s="41">
        <f t="shared" si="2"/>
        <v>36960</v>
      </c>
      <c r="H11" s="41">
        <f t="shared" si="2"/>
        <v>36993</v>
      </c>
      <c r="I11" s="41">
        <f t="shared" si="2"/>
        <v>37059</v>
      </c>
      <c r="J11" s="41">
        <f t="shared" si="2"/>
        <v>37125</v>
      </c>
      <c r="K11" s="41">
        <f t="shared" si="2"/>
        <v>37158</v>
      </c>
      <c r="L11" s="41">
        <f t="shared" si="2"/>
        <v>36300</v>
      </c>
      <c r="M11" s="41">
        <f t="shared" si="2"/>
        <v>36630</v>
      </c>
      <c r="N11" s="41">
        <f t="shared" si="2"/>
        <v>36300</v>
      </c>
    </row>
    <row r="12" spans="1:14" ht="15.5">
      <c r="A12" s="165" t="s">
        <v>22</v>
      </c>
      <c r="B12" s="14" t="s">
        <v>92</v>
      </c>
      <c r="C12" s="35">
        <v>750</v>
      </c>
      <c r="D12" s="35">
        <v>785</v>
      </c>
      <c r="E12" s="35">
        <v>765</v>
      </c>
      <c r="F12" s="35">
        <v>1021</v>
      </c>
      <c r="G12" s="35">
        <v>1025</v>
      </c>
      <c r="H12" s="35">
        <v>1030</v>
      </c>
      <c r="I12" s="35">
        <v>1040</v>
      </c>
      <c r="J12" s="35">
        <v>1100</v>
      </c>
      <c r="K12" s="35">
        <v>1111</v>
      </c>
      <c r="L12" s="35">
        <v>1113</v>
      </c>
      <c r="M12" s="35">
        <v>1115</v>
      </c>
      <c r="N12" s="35">
        <v>1117</v>
      </c>
    </row>
    <row r="13" spans="1:14" ht="31">
      <c r="A13" s="162"/>
      <c r="B13" s="14" t="s">
        <v>141</v>
      </c>
      <c r="C13" s="35">
        <v>35</v>
      </c>
      <c r="D13" s="35">
        <v>35</v>
      </c>
      <c r="E13" s="35">
        <v>35</v>
      </c>
      <c r="F13" s="35">
        <v>35</v>
      </c>
      <c r="G13" s="35">
        <v>35</v>
      </c>
      <c r="H13" s="35">
        <v>35</v>
      </c>
      <c r="I13" s="35">
        <v>35</v>
      </c>
      <c r="J13" s="35">
        <v>35</v>
      </c>
      <c r="K13" s="35">
        <v>35</v>
      </c>
      <c r="L13" s="35">
        <v>35</v>
      </c>
      <c r="M13" s="35">
        <v>35</v>
      </c>
      <c r="N13" s="35">
        <v>35</v>
      </c>
    </row>
    <row r="14" spans="1:14" ht="31">
      <c r="A14" s="147"/>
      <c r="B14" s="39" t="s">
        <v>97</v>
      </c>
      <c r="C14" s="41">
        <f t="shared" ref="C14:N14" si="3">PRODUCT(C13,C12)</f>
        <v>26250</v>
      </c>
      <c r="D14" s="41">
        <f t="shared" si="3"/>
        <v>27475</v>
      </c>
      <c r="E14" s="41">
        <f t="shared" si="3"/>
        <v>26775</v>
      </c>
      <c r="F14" s="41">
        <f t="shared" si="3"/>
        <v>35735</v>
      </c>
      <c r="G14" s="41">
        <f t="shared" si="3"/>
        <v>35875</v>
      </c>
      <c r="H14" s="41">
        <f t="shared" si="3"/>
        <v>36050</v>
      </c>
      <c r="I14" s="41">
        <f t="shared" si="3"/>
        <v>36400</v>
      </c>
      <c r="J14" s="41">
        <f t="shared" si="3"/>
        <v>38500</v>
      </c>
      <c r="K14" s="41">
        <f t="shared" si="3"/>
        <v>38885</v>
      </c>
      <c r="L14" s="41">
        <f t="shared" si="3"/>
        <v>38955</v>
      </c>
      <c r="M14" s="41">
        <f t="shared" si="3"/>
        <v>39025</v>
      </c>
      <c r="N14" s="41">
        <f t="shared" si="3"/>
        <v>39095</v>
      </c>
    </row>
    <row r="15" spans="1:14" ht="15.5">
      <c r="A15" s="161" t="s">
        <v>23</v>
      </c>
      <c r="B15" s="14" t="s">
        <v>92</v>
      </c>
      <c r="C15" s="35">
        <v>750</v>
      </c>
      <c r="D15" s="35">
        <v>755</v>
      </c>
      <c r="E15" s="35">
        <v>789</v>
      </c>
      <c r="F15" s="35">
        <v>800</v>
      </c>
      <c r="G15" s="35">
        <v>850</v>
      </c>
      <c r="H15" s="35">
        <v>860</v>
      </c>
      <c r="I15" s="35">
        <v>870</v>
      </c>
      <c r="J15" s="35">
        <v>900</v>
      </c>
      <c r="K15" s="35">
        <v>800</v>
      </c>
      <c r="L15" s="35">
        <v>750</v>
      </c>
      <c r="M15" s="35">
        <v>820</v>
      </c>
      <c r="N15" s="35">
        <v>818</v>
      </c>
    </row>
    <row r="16" spans="1:14" ht="31">
      <c r="A16" s="162"/>
      <c r="B16" s="14" t="s">
        <v>141</v>
      </c>
      <c r="C16" s="35">
        <v>38</v>
      </c>
      <c r="D16" s="35">
        <v>38</v>
      </c>
      <c r="E16" s="35">
        <v>38</v>
      </c>
      <c r="F16" s="35">
        <v>38</v>
      </c>
      <c r="G16" s="35">
        <v>38</v>
      </c>
      <c r="H16" s="35">
        <v>38</v>
      </c>
      <c r="I16" s="35">
        <v>38</v>
      </c>
      <c r="J16" s="35">
        <v>38</v>
      </c>
      <c r="K16" s="35">
        <v>38</v>
      </c>
      <c r="L16" s="35">
        <v>38</v>
      </c>
      <c r="M16" s="35">
        <v>38</v>
      </c>
      <c r="N16" s="35">
        <v>38</v>
      </c>
    </row>
    <row r="17" spans="1:14" ht="31">
      <c r="A17" s="147"/>
      <c r="B17" s="39" t="s">
        <v>97</v>
      </c>
      <c r="C17" s="41">
        <f t="shared" ref="C17:N17" si="4">PRODUCT(C16,C15)</f>
        <v>28500</v>
      </c>
      <c r="D17" s="41">
        <f t="shared" si="4"/>
        <v>28690</v>
      </c>
      <c r="E17" s="41">
        <f t="shared" si="4"/>
        <v>29982</v>
      </c>
      <c r="F17" s="41">
        <f t="shared" si="4"/>
        <v>30400</v>
      </c>
      <c r="G17" s="41">
        <f t="shared" si="4"/>
        <v>32300</v>
      </c>
      <c r="H17" s="41">
        <f t="shared" si="4"/>
        <v>32680</v>
      </c>
      <c r="I17" s="41">
        <f t="shared" si="4"/>
        <v>33060</v>
      </c>
      <c r="J17" s="41">
        <f t="shared" si="4"/>
        <v>34200</v>
      </c>
      <c r="K17" s="41">
        <f t="shared" si="4"/>
        <v>30400</v>
      </c>
      <c r="L17" s="41">
        <f t="shared" si="4"/>
        <v>28500</v>
      </c>
      <c r="M17" s="41">
        <f t="shared" si="4"/>
        <v>31160</v>
      </c>
      <c r="N17" s="41">
        <f t="shared" si="4"/>
        <v>31084</v>
      </c>
    </row>
    <row r="18" spans="1:14" ht="15.5">
      <c r="A18" s="166" t="s">
        <v>25</v>
      </c>
      <c r="B18" s="14" t="s">
        <v>92</v>
      </c>
      <c r="C18" s="35">
        <v>500</v>
      </c>
      <c r="D18" s="35">
        <v>555</v>
      </c>
      <c r="E18" s="35">
        <v>565</v>
      </c>
      <c r="F18" s="35">
        <v>575</v>
      </c>
      <c r="G18" s="35">
        <v>600</v>
      </c>
      <c r="H18" s="35">
        <v>685</v>
      </c>
      <c r="I18" s="35">
        <v>785</v>
      </c>
      <c r="J18" s="35">
        <v>800</v>
      </c>
      <c r="K18" s="35">
        <v>700</v>
      </c>
      <c r="L18" s="35">
        <v>777</v>
      </c>
      <c r="M18" s="35">
        <v>555</v>
      </c>
      <c r="N18" s="35">
        <v>651</v>
      </c>
    </row>
    <row r="19" spans="1:14" ht="31">
      <c r="A19" s="162"/>
      <c r="B19" s="14" t="s">
        <v>141</v>
      </c>
      <c r="C19" s="35">
        <v>42</v>
      </c>
      <c r="D19" s="35">
        <v>42</v>
      </c>
      <c r="E19" s="35">
        <v>42</v>
      </c>
      <c r="F19" s="35">
        <v>42</v>
      </c>
      <c r="G19" s="35">
        <v>42</v>
      </c>
      <c r="H19" s="35">
        <v>42</v>
      </c>
      <c r="I19" s="35">
        <v>42</v>
      </c>
      <c r="J19" s="35">
        <v>42</v>
      </c>
      <c r="K19" s="35">
        <v>42</v>
      </c>
      <c r="L19" s="35">
        <v>42</v>
      </c>
      <c r="M19" s="35">
        <v>42</v>
      </c>
      <c r="N19" s="35">
        <v>42</v>
      </c>
    </row>
    <row r="20" spans="1:14" ht="31">
      <c r="A20" s="147"/>
      <c r="B20" s="39" t="s">
        <v>187</v>
      </c>
      <c r="C20" s="41">
        <f t="shared" ref="C20:N20" si="5">PRODUCT(C19,C18)</f>
        <v>21000</v>
      </c>
      <c r="D20" s="41">
        <f t="shared" si="5"/>
        <v>23310</v>
      </c>
      <c r="E20" s="41">
        <f t="shared" si="5"/>
        <v>23730</v>
      </c>
      <c r="F20" s="41">
        <f t="shared" si="5"/>
        <v>24150</v>
      </c>
      <c r="G20" s="41">
        <f t="shared" si="5"/>
        <v>25200</v>
      </c>
      <c r="H20" s="41">
        <f t="shared" si="5"/>
        <v>28770</v>
      </c>
      <c r="I20" s="41">
        <f t="shared" si="5"/>
        <v>32970</v>
      </c>
      <c r="J20" s="41">
        <f t="shared" si="5"/>
        <v>33600</v>
      </c>
      <c r="K20" s="41">
        <f t="shared" si="5"/>
        <v>29400</v>
      </c>
      <c r="L20" s="41">
        <f t="shared" si="5"/>
        <v>32634</v>
      </c>
      <c r="M20" s="41">
        <f t="shared" si="5"/>
        <v>23310</v>
      </c>
      <c r="N20" s="41">
        <f t="shared" si="5"/>
        <v>27342</v>
      </c>
    </row>
    <row r="21" spans="1:14" ht="15.5">
      <c r="A21" s="166" t="s">
        <v>27</v>
      </c>
      <c r="B21" s="14" t="s">
        <v>92</v>
      </c>
      <c r="C21" s="35">
        <v>555</v>
      </c>
      <c r="D21" s="35">
        <v>650</v>
      </c>
      <c r="E21" s="35">
        <v>654</v>
      </c>
      <c r="F21" s="35">
        <v>864</v>
      </c>
      <c r="G21" s="35">
        <v>845</v>
      </c>
      <c r="H21" s="35">
        <v>890</v>
      </c>
      <c r="I21" s="35">
        <v>800</v>
      </c>
      <c r="J21" s="35">
        <v>700</v>
      </c>
      <c r="K21" s="35">
        <v>666</v>
      </c>
      <c r="L21" s="35">
        <v>678</v>
      </c>
      <c r="M21" s="35">
        <v>697</v>
      </c>
      <c r="N21" s="35">
        <v>631</v>
      </c>
    </row>
    <row r="22" spans="1:14" ht="31">
      <c r="A22" s="162"/>
      <c r="B22" s="14" t="s">
        <v>141</v>
      </c>
      <c r="C22" s="35">
        <v>40</v>
      </c>
      <c r="D22" s="35">
        <v>40</v>
      </c>
      <c r="E22" s="35">
        <v>40</v>
      </c>
      <c r="F22" s="35">
        <v>40</v>
      </c>
      <c r="G22" s="35">
        <v>40</v>
      </c>
      <c r="H22" s="35">
        <v>40</v>
      </c>
      <c r="I22" s="35">
        <v>40</v>
      </c>
      <c r="J22" s="35">
        <v>40</v>
      </c>
      <c r="K22" s="35">
        <v>40</v>
      </c>
      <c r="L22" s="35">
        <v>40</v>
      </c>
      <c r="M22" s="35">
        <v>40</v>
      </c>
      <c r="N22" s="35">
        <v>40</v>
      </c>
    </row>
    <row r="23" spans="1:14" ht="31">
      <c r="A23" s="147"/>
      <c r="B23" s="39" t="s">
        <v>187</v>
      </c>
      <c r="C23" s="41">
        <f t="shared" ref="C23:N23" si="6">PRODUCT(C22,C21)</f>
        <v>22200</v>
      </c>
      <c r="D23" s="41">
        <f t="shared" si="6"/>
        <v>26000</v>
      </c>
      <c r="E23" s="41">
        <f t="shared" si="6"/>
        <v>26160</v>
      </c>
      <c r="F23" s="41">
        <f t="shared" si="6"/>
        <v>34560</v>
      </c>
      <c r="G23" s="41">
        <f t="shared" si="6"/>
        <v>33800</v>
      </c>
      <c r="H23" s="41">
        <f t="shared" si="6"/>
        <v>35600</v>
      </c>
      <c r="I23" s="41">
        <f t="shared" si="6"/>
        <v>32000</v>
      </c>
      <c r="J23" s="41">
        <f t="shared" si="6"/>
        <v>28000</v>
      </c>
      <c r="K23" s="41">
        <f t="shared" si="6"/>
        <v>26640</v>
      </c>
      <c r="L23" s="41">
        <f t="shared" si="6"/>
        <v>27120</v>
      </c>
      <c r="M23" s="41">
        <f t="shared" si="6"/>
        <v>27880</v>
      </c>
      <c r="N23" s="41">
        <f t="shared" si="6"/>
        <v>25240</v>
      </c>
    </row>
    <row r="24" spans="1:14" ht="15.5">
      <c r="A24" s="166" t="s">
        <v>30</v>
      </c>
      <c r="B24" s="14" t="s">
        <v>92</v>
      </c>
      <c r="C24" s="35">
        <v>190</v>
      </c>
      <c r="D24" s="35">
        <v>125</v>
      </c>
      <c r="E24" s="35">
        <v>102</v>
      </c>
      <c r="F24" s="35">
        <v>123</v>
      </c>
      <c r="G24" s="35">
        <v>185</v>
      </c>
      <c r="H24" s="35">
        <v>154</v>
      </c>
      <c r="I24" s="35">
        <v>116</v>
      </c>
      <c r="J24" s="35">
        <v>131</v>
      </c>
      <c r="K24" s="35">
        <v>196</v>
      </c>
      <c r="L24" s="35">
        <v>148</v>
      </c>
      <c r="M24" s="35">
        <v>200</v>
      </c>
      <c r="N24" s="35">
        <v>162</v>
      </c>
    </row>
    <row r="25" spans="1:14" ht="31">
      <c r="A25" s="162"/>
      <c r="B25" s="14" t="s">
        <v>141</v>
      </c>
      <c r="C25" s="35">
        <v>38</v>
      </c>
      <c r="D25" s="35">
        <v>38</v>
      </c>
      <c r="E25" s="35">
        <v>38</v>
      </c>
      <c r="F25" s="35">
        <v>38</v>
      </c>
      <c r="G25" s="35">
        <v>38</v>
      </c>
      <c r="H25" s="35">
        <v>38</v>
      </c>
      <c r="I25" s="35">
        <v>38</v>
      </c>
      <c r="J25" s="35">
        <v>38</v>
      </c>
      <c r="K25" s="35">
        <v>38</v>
      </c>
      <c r="L25" s="35">
        <v>38</v>
      </c>
      <c r="M25" s="35">
        <v>38</v>
      </c>
      <c r="N25" s="35">
        <v>38</v>
      </c>
    </row>
    <row r="26" spans="1:14" ht="31">
      <c r="A26" s="147"/>
      <c r="B26" s="39" t="s">
        <v>187</v>
      </c>
      <c r="C26" s="41">
        <f t="shared" ref="C26:N26" si="7">PRODUCT(C25,C24)</f>
        <v>7220</v>
      </c>
      <c r="D26" s="41">
        <f t="shared" si="7"/>
        <v>4750</v>
      </c>
      <c r="E26" s="41">
        <f t="shared" si="7"/>
        <v>3876</v>
      </c>
      <c r="F26" s="41">
        <f t="shared" si="7"/>
        <v>4674</v>
      </c>
      <c r="G26" s="41">
        <f t="shared" si="7"/>
        <v>7030</v>
      </c>
      <c r="H26" s="41">
        <f t="shared" si="7"/>
        <v>5852</v>
      </c>
      <c r="I26" s="41">
        <f t="shared" si="7"/>
        <v>4408</v>
      </c>
      <c r="J26" s="41">
        <f t="shared" si="7"/>
        <v>4978</v>
      </c>
      <c r="K26" s="41">
        <f t="shared" si="7"/>
        <v>7448</v>
      </c>
      <c r="L26" s="41">
        <f t="shared" si="7"/>
        <v>5624</v>
      </c>
      <c r="M26" s="41">
        <f t="shared" si="7"/>
        <v>7600</v>
      </c>
      <c r="N26" s="41">
        <f t="shared" si="7"/>
        <v>6156</v>
      </c>
    </row>
    <row r="27" spans="1:14" ht="15.5">
      <c r="A27" s="166" t="s">
        <v>32</v>
      </c>
      <c r="B27" s="14" t="s">
        <v>92</v>
      </c>
      <c r="C27" s="35">
        <v>116</v>
      </c>
      <c r="D27" s="35">
        <v>170</v>
      </c>
      <c r="E27" s="35">
        <v>161</v>
      </c>
      <c r="F27" s="35">
        <v>115</v>
      </c>
      <c r="G27" s="35">
        <v>157</v>
      </c>
      <c r="H27" s="35">
        <v>174</v>
      </c>
      <c r="I27" s="35">
        <v>136</v>
      </c>
      <c r="J27" s="35">
        <v>130</v>
      </c>
      <c r="K27" s="35">
        <v>187</v>
      </c>
      <c r="L27" s="35">
        <v>194</v>
      </c>
      <c r="M27" s="35">
        <v>125</v>
      </c>
      <c r="N27" s="35">
        <v>180</v>
      </c>
    </row>
    <row r="28" spans="1:14" ht="31">
      <c r="A28" s="162"/>
      <c r="B28" s="14" t="s">
        <v>141</v>
      </c>
      <c r="C28" s="35">
        <v>45</v>
      </c>
      <c r="D28" s="35">
        <v>45</v>
      </c>
      <c r="E28" s="35">
        <v>45</v>
      </c>
      <c r="F28" s="35">
        <v>45</v>
      </c>
      <c r="G28" s="35">
        <v>45</v>
      </c>
      <c r="H28" s="35">
        <v>45</v>
      </c>
      <c r="I28" s="35">
        <v>45</v>
      </c>
      <c r="J28" s="35">
        <v>45</v>
      </c>
      <c r="K28" s="35">
        <v>45</v>
      </c>
      <c r="L28" s="35">
        <v>45</v>
      </c>
      <c r="M28" s="35">
        <v>45</v>
      </c>
      <c r="N28" s="35">
        <v>45</v>
      </c>
    </row>
    <row r="29" spans="1:14" ht="31">
      <c r="A29" s="147"/>
      <c r="B29" s="39" t="s">
        <v>187</v>
      </c>
      <c r="C29" s="41">
        <f t="shared" ref="C29:N29" si="8">PRODUCT(C28,C27)</f>
        <v>5220</v>
      </c>
      <c r="D29" s="41">
        <f t="shared" si="8"/>
        <v>7650</v>
      </c>
      <c r="E29" s="41">
        <f t="shared" si="8"/>
        <v>7245</v>
      </c>
      <c r="F29" s="41">
        <f t="shared" si="8"/>
        <v>5175</v>
      </c>
      <c r="G29" s="41">
        <f t="shared" si="8"/>
        <v>7065</v>
      </c>
      <c r="H29" s="41">
        <f t="shared" si="8"/>
        <v>7830</v>
      </c>
      <c r="I29" s="41">
        <f t="shared" si="8"/>
        <v>6120</v>
      </c>
      <c r="J29" s="41">
        <f t="shared" si="8"/>
        <v>5850</v>
      </c>
      <c r="K29" s="41">
        <f t="shared" si="8"/>
        <v>8415</v>
      </c>
      <c r="L29" s="41">
        <f t="shared" si="8"/>
        <v>8730</v>
      </c>
      <c r="M29" s="41">
        <f t="shared" si="8"/>
        <v>5625</v>
      </c>
      <c r="N29" s="41">
        <f t="shared" si="8"/>
        <v>8100</v>
      </c>
    </row>
    <row r="30" spans="1:14" ht="15.5">
      <c r="A30" s="166" t="s">
        <v>34</v>
      </c>
      <c r="B30" s="14" t="s">
        <v>92</v>
      </c>
      <c r="C30" s="35">
        <v>100</v>
      </c>
      <c r="D30" s="35">
        <v>100</v>
      </c>
      <c r="E30" s="35">
        <v>100</v>
      </c>
      <c r="F30" s="35">
        <v>100</v>
      </c>
      <c r="G30" s="35">
        <v>100</v>
      </c>
      <c r="H30" s="35">
        <v>100</v>
      </c>
      <c r="I30" s="35">
        <v>100</v>
      </c>
      <c r="J30" s="35">
        <v>100</v>
      </c>
      <c r="K30" s="35">
        <v>100</v>
      </c>
      <c r="L30" s="35">
        <v>100</v>
      </c>
      <c r="M30" s="35">
        <v>100</v>
      </c>
      <c r="N30" s="35">
        <v>100</v>
      </c>
    </row>
    <row r="31" spans="1:14" ht="31">
      <c r="A31" s="162"/>
      <c r="B31" s="14" t="s">
        <v>141</v>
      </c>
      <c r="C31" s="35">
        <v>45</v>
      </c>
      <c r="D31" s="35">
        <v>45</v>
      </c>
      <c r="E31" s="35">
        <v>45</v>
      </c>
      <c r="F31" s="35">
        <v>45</v>
      </c>
      <c r="G31" s="35">
        <v>45</v>
      </c>
      <c r="H31" s="35">
        <v>45</v>
      </c>
      <c r="I31" s="35">
        <v>45</v>
      </c>
      <c r="J31" s="35">
        <v>45</v>
      </c>
      <c r="K31" s="35">
        <v>45</v>
      </c>
      <c r="L31" s="35">
        <v>45</v>
      </c>
      <c r="M31" s="35">
        <v>45</v>
      </c>
      <c r="N31" s="35">
        <v>45</v>
      </c>
    </row>
    <row r="32" spans="1:14" ht="31">
      <c r="A32" s="147"/>
      <c r="B32" s="39" t="s">
        <v>187</v>
      </c>
      <c r="C32" s="41">
        <f t="shared" ref="C32:N32" si="9">PRODUCT(C31,C30)</f>
        <v>4500</v>
      </c>
      <c r="D32" s="41">
        <f t="shared" si="9"/>
        <v>4500</v>
      </c>
      <c r="E32" s="41">
        <f t="shared" si="9"/>
        <v>4500</v>
      </c>
      <c r="F32" s="41">
        <f t="shared" si="9"/>
        <v>4500</v>
      </c>
      <c r="G32" s="41">
        <f t="shared" si="9"/>
        <v>4500</v>
      </c>
      <c r="H32" s="41">
        <f t="shared" si="9"/>
        <v>4500</v>
      </c>
      <c r="I32" s="41">
        <f t="shared" si="9"/>
        <v>4500</v>
      </c>
      <c r="J32" s="41">
        <f t="shared" si="9"/>
        <v>4500</v>
      </c>
      <c r="K32" s="41">
        <f t="shared" si="9"/>
        <v>4500</v>
      </c>
      <c r="L32" s="41">
        <f t="shared" si="9"/>
        <v>4500</v>
      </c>
      <c r="M32" s="41">
        <f t="shared" si="9"/>
        <v>4500</v>
      </c>
      <c r="N32" s="41">
        <f t="shared" si="9"/>
        <v>4500</v>
      </c>
    </row>
    <row r="33" spans="1:14" ht="15.5">
      <c r="A33" s="166" t="s">
        <v>36</v>
      </c>
      <c r="B33" s="14" t="s">
        <v>92</v>
      </c>
      <c r="C33" s="35">
        <v>176</v>
      </c>
      <c r="D33" s="35">
        <v>116</v>
      </c>
      <c r="E33" s="35">
        <v>111</v>
      </c>
      <c r="F33" s="35">
        <v>181</v>
      </c>
      <c r="G33" s="35">
        <v>171</v>
      </c>
      <c r="H33" s="35">
        <v>192</v>
      </c>
      <c r="I33" s="35">
        <v>200</v>
      </c>
      <c r="J33" s="35">
        <v>157</v>
      </c>
      <c r="K33" s="35">
        <v>188</v>
      </c>
      <c r="L33" s="35">
        <v>134</v>
      </c>
      <c r="M33" s="35">
        <v>122</v>
      </c>
      <c r="N33" s="35">
        <v>100</v>
      </c>
    </row>
    <row r="34" spans="1:14" ht="31">
      <c r="A34" s="162"/>
      <c r="B34" s="14" t="s">
        <v>141</v>
      </c>
      <c r="C34" s="35">
        <v>45</v>
      </c>
      <c r="D34" s="35">
        <v>45</v>
      </c>
      <c r="E34" s="35">
        <v>45</v>
      </c>
      <c r="F34" s="35">
        <v>45</v>
      </c>
      <c r="G34" s="35">
        <v>45</v>
      </c>
      <c r="H34" s="35">
        <v>45</v>
      </c>
      <c r="I34" s="35">
        <v>45</v>
      </c>
      <c r="J34" s="35">
        <v>45</v>
      </c>
      <c r="K34" s="35">
        <v>45</v>
      </c>
      <c r="L34" s="35">
        <v>45</v>
      </c>
      <c r="M34" s="35">
        <v>45</v>
      </c>
      <c r="N34" s="35">
        <v>45</v>
      </c>
    </row>
    <row r="35" spans="1:14" ht="31">
      <c r="A35" s="147"/>
      <c r="B35" s="39" t="s">
        <v>187</v>
      </c>
      <c r="C35" s="41">
        <f t="shared" ref="C35:N35" si="10">PRODUCT(C34,C33)</f>
        <v>7920</v>
      </c>
      <c r="D35" s="41">
        <f t="shared" si="10"/>
        <v>5220</v>
      </c>
      <c r="E35" s="41">
        <f t="shared" si="10"/>
        <v>4995</v>
      </c>
      <c r="F35" s="41">
        <f t="shared" si="10"/>
        <v>8145</v>
      </c>
      <c r="G35" s="41">
        <f t="shared" si="10"/>
        <v>7695</v>
      </c>
      <c r="H35" s="41">
        <f t="shared" si="10"/>
        <v>8640</v>
      </c>
      <c r="I35" s="41">
        <f t="shared" si="10"/>
        <v>9000</v>
      </c>
      <c r="J35" s="41">
        <f t="shared" si="10"/>
        <v>7065</v>
      </c>
      <c r="K35" s="41">
        <f t="shared" si="10"/>
        <v>8460</v>
      </c>
      <c r="L35" s="41">
        <f t="shared" si="10"/>
        <v>6030</v>
      </c>
      <c r="M35" s="41">
        <f t="shared" si="10"/>
        <v>5490</v>
      </c>
      <c r="N35" s="41">
        <f t="shared" si="10"/>
        <v>4500</v>
      </c>
    </row>
    <row r="36" spans="1:14" ht="15.5">
      <c r="A36" s="166" t="s">
        <v>38</v>
      </c>
      <c r="B36" s="14" t="s">
        <v>92</v>
      </c>
      <c r="C36" s="35">
        <v>161</v>
      </c>
      <c r="D36" s="35">
        <v>131</v>
      </c>
      <c r="E36" s="35">
        <v>107</v>
      </c>
      <c r="F36" s="35">
        <v>192</v>
      </c>
      <c r="G36" s="35">
        <v>103</v>
      </c>
      <c r="H36" s="35">
        <v>198</v>
      </c>
      <c r="I36" s="35">
        <v>189</v>
      </c>
      <c r="J36" s="35">
        <v>182</v>
      </c>
      <c r="K36" s="35">
        <v>187</v>
      </c>
      <c r="L36" s="35">
        <v>152</v>
      </c>
      <c r="M36" s="35">
        <v>170</v>
      </c>
      <c r="N36" s="35">
        <v>102</v>
      </c>
    </row>
    <row r="37" spans="1:14" ht="31">
      <c r="A37" s="162"/>
      <c r="B37" s="14" t="s">
        <v>141</v>
      </c>
      <c r="C37" s="35">
        <v>30</v>
      </c>
      <c r="D37" s="35">
        <v>30</v>
      </c>
      <c r="E37" s="35">
        <v>30</v>
      </c>
      <c r="F37" s="35">
        <v>30</v>
      </c>
      <c r="G37" s="35">
        <v>30</v>
      </c>
      <c r="H37" s="35">
        <v>30</v>
      </c>
      <c r="I37" s="35">
        <v>30</v>
      </c>
      <c r="J37" s="35">
        <v>30</v>
      </c>
      <c r="K37" s="35">
        <v>30</v>
      </c>
      <c r="L37" s="35">
        <v>30</v>
      </c>
      <c r="M37" s="35">
        <v>30</v>
      </c>
      <c r="N37" s="35">
        <v>30</v>
      </c>
    </row>
    <row r="38" spans="1:14" ht="31">
      <c r="A38" s="147"/>
      <c r="B38" s="39" t="s">
        <v>187</v>
      </c>
      <c r="C38" s="41">
        <f t="shared" ref="C38:N38" si="11">PRODUCT(C37,C36)</f>
        <v>4830</v>
      </c>
      <c r="D38" s="41">
        <f t="shared" si="11"/>
        <v>3930</v>
      </c>
      <c r="E38" s="41">
        <f t="shared" si="11"/>
        <v>3210</v>
      </c>
      <c r="F38" s="41">
        <f t="shared" si="11"/>
        <v>5760</v>
      </c>
      <c r="G38" s="41">
        <f t="shared" si="11"/>
        <v>3090</v>
      </c>
      <c r="H38" s="41">
        <f t="shared" si="11"/>
        <v>5940</v>
      </c>
      <c r="I38" s="41">
        <f t="shared" si="11"/>
        <v>5670</v>
      </c>
      <c r="J38" s="41">
        <f t="shared" si="11"/>
        <v>5460</v>
      </c>
      <c r="K38" s="41">
        <f t="shared" si="11"/>
        <v>5610</v>
      </c>
      <c r="L38" s="41">
        <f t="shared" si="11"/>
        <v>4560</v>
      </c>
      <c r="M38" s="41">
        <f t="shared" si="11"/>
        <v>5100</v>
      </c>
      <c r="N38" s="41">
        <f t="shared" si="11"/>
        <v>3060</v>
      </c>
    </row>
    <row r="39" spans="1:14" ht="15.5">
      <c r="A39" s="166" t="s">
        <v>41</v>
      </c>
      <c r="B39" s="14" t="s">
        <v>92</v>
      </c>
      <c r="C39" s="35">
        <v>119</v>
      </c>
      <c r="D39" s="35">
        <v>143</v>
      </c>
      <c r="E39" s="35">
        <v>168</v>
      </c>
      <c r="F39" s="35">
        <v>139</v>
      </c>
      <c r="G39" s="35">
        <v>132</v>
      </c>
      <c r="H39" s="35">
        <v>194</v>
      </c>
      <c r="I39" s="35">
        <v>175</v>
      </c>
      <c r="J39" s="35">
        <v>148</v>
      </c>
      <c r="K39" s="35">
        <v>196</v>
      </c>
      <c r="L39" s="35">
        <v>181</v>
      </c>
      <c r="M39" s="35">
        <v>185</v>
      </c>
      <c r="N39" s="35">
        <v>118</v>
      </c>
    </row>
    <row r="40" spans="1:14" ht="31">
      <c r="A40" s="162"/>
      <c r="B40" s="14" t="s">
        <v>141</v>
      </c>
      <c r="C40" s="35">
        <v>40</v>
      </c>
      <c r="D40" s="35">
        <v>40</v>
      </c>
      <c r="E40" s="35">
        <v>40</v>
      </c>
      <c r="F40" s="35">
        <v>40</v>
      </c>
      <c r="G40" s="35">
        <v>40</v>
      </c>
      <c r="H40" s="35">
        <v>40</v>
      </c>
      <c r="I40" s="35">
        <v>40</v>
      </c>
      <c r="J40" s="35">
        <v>40</v>
      </c>
      <c r="K40" s="35">
        <v>40</v>
      </c>
      <c r="L40" s="35">
        <v>40</v>
      </c>
      <c r="M40" s="35">
        <v>40</v>
      </c>
      <c r="N40" s="35">
        <v>40</v>
      </c>
    </row>
    <row r="41" spans="1:14" ht="31">
      <c r="A41" s="147"/>
      <c r="B41" s="39" t="s">
        <v>187</v>
      </c>
      <c r="C41" s="41">
        <f t="shared" ref="C41:N41" si="12">PRODUCT(C40,C39)</f>
        <v>4760</v>
      </c>
      <c r="D41" s="41">
        <f t="shared" si="12"/>
        <v>5720</v>
      </c>
      <c r="E41" s="41">
        <f t="shared" si="12"/>
        <v>6720</v>
      </c>
      <c r="F41" s="41">
        <f t="shared" si="12"/>
        <v>5560</v>
      </c>
      <c r="G41" s="41">
        <f t="shared" si="12"/>
        <v>5280</v>
      </c>
      <c r="H41" s="41">
        <f t="shared" si="12"/>
        <v>7760</v>
      </c>
      <c r="I41" s="41">
        <f t="shared" si="12"/>
        <v>7000</v>
      </c>
      <c r="J41" s="41">
        <f t="shared" si="12"/>
        <v>5920</v>
      </c>
      <c r="K41" s="41">
        <f t="shared" si="12"/>
        <v>7840</v>
      </c>
      <c r="L41" s="41">
        <f t="shared" si="12"/>
        <v>7240</v>
      </c>
      <c r="M41" s="41">
        <f t="shared" si="12"/>
        <v>7400</v>
      </c>
      <c r="N41" s="41">
        <f t="shared" si="12"/>
        <v>4720</v>
      </c>
    </row>
    <row r="42" spans="1:14" ht="15.5">
      <c r="A42" s="166" t="s">
        <v>42</v>
      </c>
      <c r="B42" s="14" t="s">
        <v>92</v>
      </c>
      <c r="C42" s="35">
        <v>193</v>
      </c>
      <c r="D42" s="35">
        <v>144</v>
      </c>
      <c r="E42" s="35">
        <v>153</v>
      </c>
      <c r="F42" s="35">
        <v>107</v>
      </c>
      <c r="G42" s="35">
        <v>165</v>
      </c>
      <c r="H42" s="35">
        <v>135</v>
      </c>
      <c r="I42" s="35">
        <v>110</v>
      </c>
      <c r="J42" s="35">
        <v>140</v>
      </c>
      <c r="K42" s="35">
        <v>165</v>
      </c>
      <c r="L42" s="35">
        <v>128</v>
      </c>
      <c r="M42" s="35">
        <v>142</v>
      </c>
      <c r="N42" s="35">
        <v>159</v>
      </c>
    </row>
    <row r="43" spans="1:14" ht="31">
      <c r="A43" s="162"/>
      <c r="B43" s="14" t="s">
        <v>141</v>
      </c>
      <c r="C43" s="35">
        <v>40</v>
      </c>
      <c r="D43" s="35">
        <v>40</v>
      </c>
      <c r="E43" s="35">
        <v>40</v>
      </c>
      <c r="F43" s="35">
        <v>40</v>
      </c>
      <c r="G43" s="35">
        <v>40</v>
      </c>
      <c r="H43" s="35">
        <v>40</v>
      </c>
      <c r="I43" s="35">
        <v>40</v>
      </c>
      <c r="J43" s="35">
        <v>40</v>
      </c>
      <c r="K43" s="35">
        <v>40</v>
      </c>
      <c r="L43" s="35">
        <v>40</v>
      </c>
      <c r="M43" s="35">
        <v>40</v>
      </c>
      <c r="N43" s="35">
        <v>40</v>
      </c>
    </row>
    <row r="44" spans="1:14" ht="31">
      <c r="A44" s="147"/>
      <c r="B44" s="39" t="s">
        <v>187</v>
      </c>
      <c r="C44" s="41">
        <f t="shared" ref="C44:N44" si="13">PRODUCT(C43,C42)</f>
        <v>7720</v>
      </c>
      <c r="D44" s="41">
        <f t="shared" si="13"/>
        <v>5760</v>
      </c>
      <c r="E44" s="41">
        <f t="shared" si="13"/>
        <v>6120</v>
      </c>
      <c r="F44" s="41">
        <f t="shared" si="13"/>
        <v>4280</v>
      </c>
      <c r="G44" s="41">
        <f t="shared" si="13"/>
        <v>6600</v>
      </c>
      <c r="H44" s="41">
        <f t="shared" si="13"/>
        <v>5400</v>
      </c>
      <c r="I44" s="41">
        <f t="shared" si="13"/>
        <v>4400</v>
      </c>
      <c r="J44" s="41">
        <f t="shared" si="13"/>
        <v>5600</v>
      </c>
      <c r="K44" s="41">
        <f t="shared" si="13"/>
        <v>6600</v>
      </c>
      <c r="L44" s="41">
        <f t="shared" si="13"/>
        <v>5120</v>
      </c>
      <c r="M44" s="41">
        <f t="shared" si="13"/>
        <v>5680</v>
      </c>
      <c r="N44" s="41">
        <f t="shared" si="13"/>
        <v>6360</v>
      </c>
    </row>
    <row r="45" spans="1:14" ht="15.5">
      <c r="A45" s="166" t="s">
        <v>51</v>
      </c>
      <c r="B45" s="14" t="s">
        <v>92</v>
      </c>
      <c r="C45" s="35">
        <v>337</v>
      </c>
      <c r="D45" s="35">
        <v>495</v>
      </c>
      <c r="E45" s="35">
        <v>481</v>
      </c>
      <c r="F45" s="35">
        <v>445</v>
      </c>
      <c r="G45" s="35">
        <v>462</v>
      </c>
      <c r="H45" s="35">
        <v>327</v>
      </c>
      <c r="I45" s="35">
        <v>315</v>
      </c>
      <c r="J45" s="35">
        <v>482</v>
      </c>
      <c r="K45" s="35">
        <v>483</v>
      </c>
      <c r="L45" s="35">
        <v>367</v>
      </c>
      <c r="M45" s="35">
        <v>370</v>
      </c>
      <c r="N45" s="35">
        <v>449</v>
      </c>
    </row>
    <row r="46" spans="1:14" ht="31">
      <c r="A46" s="162"/>
      <c r="B46" s="14" t="s">
        <v>141</v>
      </c>
      <c r="C46" s="35">
        <v>40</v>
      </c>
      <c r="D46" s="35">
        <v>40</v>
      </c>
      <c r="E46" s="35">
        <v>40</v>
      </c>
      <c r="F46" s="35">
        <v>40</v>
      </c>
      <c r="G46" s="35">
        <v>40</v>
      </c>
      <c r="H46" s="35">
        <v>40</v>
      </c>
      <c r="I46" s="35">
        <v>40</v>
      </c>
      <c r="J46" s="35">
        <v>40</v>
      </c>
      <c r="K46" s="35">
        <v>40</v>
      </c>
      <c r="L46" s="35">
        <v>40</v>
      </c>
      <c r="M46" s="35">
        <v>40</v>
      </c>
      <c r="N46" s="35">
        <v>40</v>
      </c>
    </row>
    <row r="47" spans="1:14" ht="31">
      <c r="A47" s="147"/>
      <c r="B47" s="39" t="s">
        <v>187</v>
      </c>
      <c r="C47" s="41">
        <f t="shared" ref="C47:N47" si="14">PRODUCT(C46,C45)</f>
        <v>13480</v>
      </c>
      <c r="D47" s="41">
        <f t="shared" si="14"/>
        <v>19800</v>
      </c>
      <c r="E47" s="41">
        <f t="shared" si="14"/>
        <v>19240</v>
      </c>
      <c r="F47" s="41">
        <f t="shared" si="14"/>
        <v>17800</v>
      </c>
      <c r="G47" s="41">
        <f t="shared" si="14"/>
        <v>18480</v>
      </c>
      <c r="H47" s="41">
        <f t="shared" si="14"/>
        <v>13080</v>
      </c>
      <c r="I47" s="41">
        <f t="shared" si="14"/>
        <v>12600</v>
      </c>
      <c r="J47" s="41">
        <f t="shared" si="14"/>
        <v>19280</v>
      </c>
      <c r="K47" s="41">
        <f t="shared" si="14"/>
        <v>19320</v>
      </c>
      <c r="L47" s="41">
        <f t="shared" si="14"/>
        <v>14680</v>
      </c>
      <c r="M47" s="41">
        <f t="shared" si="14"/>
        <v>14800</v>
      </c>
      <c r="N47" s="41">
        <f t="shared" si="14"/>
        <v>17960</v>
      </c>
    </row>
    <row r="48" spans="1:14" ht="15.5">
      <c r="A48" s="166" t="s">
        <v>53</v>
      </c>
      <c r="B48" s="14" t="s">
        <v>92</v>
      </c>
      <c r="C48" s="35">
        <v>133</v>
      </c>
      <c r="D48" s="35">
        <v>116</v>
      </c>
      <c r="E48" s="35">
        <v>100</v>
      </c>
      <c r="F48" s="35">
        <v>137</v>
      </c>
      <c r="G48" s="35">
        <v>159</v>
      </c>
      <c r="H48" s="35">
        <v>106</v>
      </c>
      <c r="I48" s="35">
        <v>189</v>
      </c>
      <c r="J48" s="35">
        <v>163</v>
      </c>
      <c r="K48" s="35">
        <v>116</v>
      </c>
      <c r="L48" s="35">
        <v>166</v>
      </c>
      <c r="M48" s="35">
        <v>147</v>
      </c>
      <c r="N48" s="35">
        <v>126</v>
      </c>
    </row>
    <row r="49" spans="1:25" ht="31">
      <c r="A49" s="162"/>
      <c r="B49" s="14" t="s">
        <v>141</v>
      </c>
      <c r="C49" s="35">
        <v>40</v>
      </c>
      <c r="D49" s="35">
        <v>40</v>
      </c>
      <c r="E49" s="35">
        <v>40</v>
      </c>
      <c r="F49" s="35">
        <v>40</v>
      </c>
      <c r="G49" s="35">
        <v>40</v>
      </c>
      <c r="H49" s="35">
        <v>40</v>
      </c>
      <c r="I49" s="35">
        <v>40</v>
      </c>
      <c r="J49" s="35">
        <v>40</v>
      </c>
      <c r="K49" s="35">
        <v>40</v>
      </c>
      <c r="L49" s="35">
        <v>40</v>
      </c>
      <c r="M49" s="35">
        <v>40</v>
      </c>
      <c r="N49" s="35">
        <v>40</v>
      </c>
    </row>
    <row r="50" spans="1:25" ht="31">
      <c r="A50" s="147"/>
      <c r="B50" s="39" t="s">
        <v>187</v>
      </c>
      <c r="C50" s="41">
        <f t="shared" ref="C50:N50" si="15">PRODUCT(C49,C48)</f>
        <v>5320</v>
      </c>
      <c r="D50" s="41">
        <f t="shared" si="15"/>
        <v>4640</v>
      </c>
      <c r="E50" s="41">
        <f t="shared" si="15"/>
        <v>4000</v>
      </c>
      <c r="F50" s="41">
        <f t="shared" si="15"/>
        <v>5480</v>
      </c>
      <c r="G50" s="41">
        <f t="shared" si="15"/>
        <v>6360</v>
      </c>
      <c r="H50" s="41">
        <f t="shared" si="15"/>
        <v>4240</v>
      </c>
      <c r="I50" s="41">
        <f t="shared" si="15"/>
        <v>7560</v>
      </c>
      <c r="J50" s="41">
        <f t="shared" si="15"/>
        <v>6520</v>
      </c>
      <c r="K50" s="41">
        <f t="shared" si="15"/>
        <v>4640</v>
      </c>
      <c r="L50" s="41">
        <f t="shared" si="15"/>
        <v>6640</v>
      </c>
      <c r="M50" s="41">
        <f t="shared" si="15"/>
        <v>5880</v>
      </c>
      <c r="N50" s="41">
        <f t="shared" si="15"/>
        <v>5040</v>
      </c>
    </row>
    <row r="51" spans="1:25" ht="15.5">
      <c r="A51" s="166" t="s">
        <v>231</v>
      </c>
      <c r="B51" s="14" t="s">
        <v>92</v>
      </c>
      <c r="C51" s="35">
        <v>591</v>
      </c>
      <c r="D51" s="35">
        <v>623</v>
      </c>
      <c r="E51" s="35">
        <v>661</v>
      </c>
      <c r="F51" s="35">
        <v>690</v>
      </c>
      <c r="G51" s="35">
        <v>545</v>
      </c>
      <c r="H51" s="35">
        <v>643</v>
      </c>
      <c r="I51" s="35">
        <v>568</v>
      </c>
      <c r="J51" s="35">
        <v>692</v>
      </c>
      <c r="K51" s="35">
        <v>630</v>
      </c>
      <c r="L51" s="35">
        <v>660</v>
      </c>
      <c r="M51" s="35">
        <v>514</v>
      </c>
      <c r="N51" s="35">
        <v>631</v>
      </c>
    </row>
    <row r="52" spans="1:25" ht="31">
      <c r="A52" s="162"/>
      <c r="B52" s="14" t="s">
        <v>141</v>
      </c>
      <c r="C52" s="35">
        <v>35</v>
      </c>
      <c r="D52" s="35">
        <v>35</v>
      </c>
      <c r="E52" s="35">
        <v>35</v>
      </c>
      <c r="F52" s="35">
        <v>35</v>
      </c>
      <c r="G52" s="35">
        <v>35</v>
      </c>
      <c r="H52" s="35">
        <v>35</v>
      </c>
      <c r="I52" s="35">
        <v>35</v>
      </c>
      <c r="J52" s="35">
        <v>35</v>
      </c>
      <c r="K52" s="35">
        <v>35</v>
      </c>
      <c r="L52" s="35">
        <v>35</v>
      </c>
      <c r="M52" s="35">
        <v>35</v>
      </c>
      <c r="N52" s="35">
        <v>35</v>
      </c>
    </row>
    <row r="53" spans="1:25" ht="31">
      <c r="A53" s="147"/>
      <c r="B53" s="39" t="s">
        <v>187</v>
      </c>
      <c r="C53" s="41">
        <f t="shared" ref="C53:N53" si="16">PRODUCT(C52,C51)</f>
        <v>20685</v>
      </c>
      <c r="D53" s="41">
        <f t="shared" si="16"/>
        <v>21805</v>
      </c>
      <c r="E53" s="41">
        <f t="shared" si="16"/>
        <v>23135</v>
      </c>
      <c r="F53" s="41">
        <f t="shared" si="16"/>
        <v>24150</v>
      </c>
      <c r="G53" s="41">
        <f t="shared" si="16"/>
        <v>19075</v>
      </c>
      <c r="H53" s="41">
        <f t="shared" si="16"/>
        <v>22505</v>
      </c>
      <c r="I53" s="41">
        <f t="shared" si="16"/>
        <v>19880</v>
      </c>
      <c r="J53" s="41">
        <f t="shared" si="16"/>
        <v>24220</v>
      </c>
      <c r="K53" s="41">
        <f t="shared" si="16"/>
        <v>22050</v>
      </c>
      <c r="L53" s="41">
        <f t="shared" si="16"/>
        <v>23100</v>
      </c>
      <c r="M53" s="41">
        <f t="shared" si="16"/>
        <v>17990</v>
      </c>
      <c r="N53" s="41">
        <f t="shared" si="16"/>
        <v>22085</v>
      </c>
    </row>
    <row r="54" spans="1:25" ht="16.5">
      <c r="A54" s="107" t="s">
        <v>57</v>
      </c>
      <c r="B54" s="109" t="s">
        <v>92</v>
      </c>
      <c r="C54" s="110">
        <v>171</v>
      </c>
      <c r="D54" s="110">
        <v>171</v>
      </c>
      <c r="E54" s="110">
        <v>133</v>
      </c>
      <c r="F54" s="110">
        <v>126</v>
      </c>
      <c r="G54" s="110">
        <v>106</v>
      </c>
      <c r="H54" s="110">
        <v>121</v>
      </c>
      <c r="I54" s="110">
        <v>596</v>
      </c>
      <c r="J54" s="110">
        <v>556</v>
      </c>
      <c r="K54" s="110">
        <v>563</v>
      </c>
      <c r="L54" s="110">
        <v>596</v>
      </c>
      <c r="M54" s="110">
        <v>543</v>
      </c>
      <c r="N54" s="110">
        <v>533</v>
      </c>
    </row>
    <row r="55" spans="1:25" ht="31">
      <c r="A55" s="113"/>
      <c r="B55" s="14" t="s">
        <v>141</v>
      </c>
      <c r="C55" s="35">
        <v>45</v>
      </c>
      <c r="D55" s="35">
        <v>45</v>
      </c>
      <c r="E55" s="35">
        <v>45</v>
      </c>
      <c r="F55" s="35">
        <v>45</v>
      </c>
      <c r="G55" s="35">
        <v>45</v>
      </c>
      <c r="H55" s="35">
        <v>45</v>
      </c>
      <c r="I55" s="35">
        <v>45</v>
      </c>
      <c r="J55" s="35">
        <v>45</v>
      </c>
      <c r="K55" s="35">
        <v>45</v>
      </c>
      <c r="L55" s="35">
        <v>45</v>
      </c>
      <c r="M55" s="35">
        <v>45</v>
      </c>
      <c r="N55" s="35">
        <v>45</v>
      </c>
    </row>
    <row r="56" spans="1:25" ht="31">
      <c r="A56" s="116"/>
      <c r="B56" s="39" t="s">
        <v>187</v>
      </c>
      <c r="C56" s="41">
        <f t="shared" ref="C56:N56" si="17">PRODUCT(C55,C54)</f>
        <v>7695</v>
      </c>
      <c r="D56" s="41">
        <f t="shared" si="17"/>
        <v>7695</v>
      </c>
      <c r="E56" s="41">
        <f t="shared" si="17"/>
        <v>5985</v>
      </c>
      <c r="F56" s="41">
        <f t="shared" si="17"/>
        <v>5670</v>
      </c>
      <c r="G56" s="41">
        <f t="shared" si="17"/>
        <v>4770</v>
      </c>
      <c r="H56" s="41">
        <f t="shared" si="17"/>
        <v>5445</v>
      </c>
      <c r="I56" s="41">
        <f t="shared" si="17"/>
        <v>26820</v>
      </c>
      <c r="J56" s="41">
        <f t="shared" si="17"/>
        <v>25020</v>
      </c>
      <c r="K56" s="41">
        <f t="shared" si="17"/>
        <v>25335</v>
      </c>
      <c r="L56" s="41">
        <f t="shared" si="17"/>
        <v>26820</v>
      </c>
      <c r="M56" s="41">
        <f t="shared" si="17"/>
        <v>24435</v>
      </c>
      <c r="N56" s="41">
        <f t="shared" si="17"/>
        <v>23985</v>
      </c>
    </row>
    <row r="57" spans="1:25" ht="15.5">
      <c r="A57" s="166" t="s">
        <v>59</v>
      </c>
      <c r="B57" s="14" t="s">
        <v>92</v>
      </c>
      <c r="C57" s="35">
        <v>505</v>
      </c>
      <c r="D57" s="35">
        <v>555</v>
      </c>
      <c r="E57" s="35">
        <v>581</v>
      </c>
      <c r="F57" s="35">
        <v>570</v>
      </c>
      <c r="G57" s="35">
        <v>536</v>
      </c>
      <c r="H57" s="35">
        <v>588</v>
      </c>
      <c r="I57" s="35">
        <v>546</v>
      </c>
      <c r="J57" s="35">
        <v>561</v>
      </c>
      <c r="K57" s="35">
        <v>549</v>
      </c>
      <c r="L57" s="35">
        <v>544</v>
      </c>
      <c r="M57" s="35">
        <v>517</v>
      </c>
      <c r="N57" s="35">
        <v>587</v>
      </c>
    </row>
    <row r="58" spans="1:25" ht="31">
      <c r="A58" s="162"/>
      <c r="B58" s="14" t="s">
        <v>141</v>
      </c>
      <c r="C58" s="35">
        <v>35</v>
      </c>
      <c r="D58" s="35">
        <v>35</v>
      </c>
      <c r="E58" s="35">
        <v>35</v>
      </c>
      <c r="F58" s="35">
        <v>35</v>
      </c>
      <c r="G58" s="35">
        <v>35</v>
      </c>
      <c r="H58" s="35">
        <v>35</v>
      </c>
      <c r="I58" s="35">
        <v>35</v>
      </c>
      <c r="J58" s="35">
        <v>35</v>
      </c>
      <c r="K58" s="35">
        <v>35</v>
      </c>
      <c r="L58" s="35">
        <v>35</v>
      </c>
      <c r="M58" s="35">
        <v>35</v>
      </c>
      <c r="N58" s="35">
        <v>35</v>
      </c>
    </row>
    <row r="59" spans="1:25" ht="31">
      <c r="A59" s="147"/>
      <c r="B59" s="39" t="s">
        <v>187</v>
      </c>
      <c r="C59" s="41">
        <f t="shared" ref="C59:N59" si="18">PRODUCT(C58,C57)</f>
        <v>17675</v>
      </c>
      <c r="D59" s="41">
        <f t="shared" si="18"/>
        <v>19425</v>
      </c>
      <c r="E59" s="41">
        <f t="shared" si="18"/>
        <v>20335</v>
      </c>
      <c r="F59" s="41">
        <f t="shared" si="18"/>
        <v>19950</v>
      </c>
      <c r="G59" s="41">
        <f t="shared" si="18"/>
        <v>18760</v>
      </c>
      <c r="H59" s="41">
        <f t="shared" si="18"/>
        <v>20580</v>
      </c>
      <c r="I59" s="41">
        <f t="shared" si="18"/>
        <v>19110</v>
      </c>
      <c r="J59" s="41">
        <f t="shared" si="18"/>
        <v>19635</v>
      </c>
      <c r="K59" s="41">
        <f t="shared" si="18"/>
        <v>19215</v>
      </c>
      <c r="L59" s="41">
        <f t="shared" si="18"/>
        <v>19040</v>
      </c>
      <c r="M59" s="41">
        <f t="shared" si="18"/>
        <v>18095</v>
      </c>
      <c r="N59" s="41">
        <f t="shared" si="18"/>
        <v>20545</v>
      </c>
    </row>
    <row r="60" spans="1:25" ht="15.5">
      <c r="A60" s="166" t="s">
        <v>67</v>
      </c>
      <c r="B60" s="14" t="s">
        <v>92</v>
      </c>
      <c r="C60" s="35">
        <v>545</v>
      </c>
      <c r="D60" s="35">
        <v>561</v>
      </c>
      <c r="E60" s="35">
        <v>545</v>
      </c>
      <c r="F60" s="7">
        <v>654</v>
      </c>
      <c r="G60" s="35">
        <v>556</v>
      </c>
      <c r="H60" s="35">
        <v>566</v>
      </c>
      <c r="I60" s="35">
        <v>590</v>
      </c>
      <c r="J60" s="35">
        <v>600</v>
      </c>
      <c r="K60" s="35">
        <v>529</v>
      </c>
      <c r="L60" s="35">
        <v>516</v>
      </c>
      <c r="M60" s="35">
        <v>584</v>
      </c>
      <c r="N60" s="35">
        <v>564</v>
      </c>
    </row>
    <row r="61" spans="1:25" ht="31">
      <c r="A61" s="162"/>
      <c r="B61" s="14" t="s">
        <v>141</v>
      </c>
      <c r="C61" s="35">
        <v>45</v>
      </c>
      <c r="D61" s="35">
        <v>45</v>
      </c>
      <c r="E61" s="35">
        <v>45</v>
      </c>
      <c r="F61" s="35">
        <v>45</v>
      </c>
      <c r="G61" s="35">
        <v>45</v>
      </c>
      <c r="H61" s="35">
        <v>45</v>
      </c>
      <c r="I61" s="35">
        <v>45</v>
      </c>
      <c r="J61" s="35">
        <v>45</v>
      </c>
      <c r="K61" s="35">
        <v>45</v>
      </c>
      <c r="L61" s="35">
        <v>45</v>
      </c>
      <c r="M61" s="35">
        <v>45</v>
      </c>
      <c r="N61" s="35">
        <v>45</v>
      </c>
    </row>
    <row r="62" spans="1:25" ht="31">
      <c r="A62" s="147"/>
      <c r="B62" s="39" t="s">
        <v>187</v>
      </c>
      <c r="C62" s="41">
        <f t="shared" ref="C62:E62" si="19">PRODUCT(C61,C60)</f>
        <v>24525</v>
      </c>
      <c r="D62" s="41">
        <f t="shared" si="19"/>
        <v>25245</v>
      </c>
      <c r="E62" s="41">
        <f t="shared" si="19"/>
        <v>24525</v>
      </c>
      <c r="F62" s="41">
        <f>PRODUCT(F61,G60)</f>
        <v>25020</v>
      </c>
      <c r="G62" s="41">
        <f t="shared" ref="G62:N62" si="20">PRODUCT(G61,G60)</f>
        <v>25020</v>
      </c>
      <c r="H62" s="41">
        <f t="shared" si="20"/>
        <v>25470</v>
      </c>
      <c r="I62" s="41">
        <f t="shared" si="20"/>
        <v>26550</v>
      </c>
      <c r="J62" s="41">
        <f t="shared" si="20"/>
        <v>27000</v>
      </c>
      <c r="K62" s="41">
        <f t="shared" si="20"/>
        <v>23805</v>
      </c>
      <c r="L62" s="41">
        <f t="shared" si="20"/>
        <v>23220</v>
      </c>
      <c r="M62" s="41">
        <f t="shared" si="20"/>
        <v>26280</v>
      </c>
      <c r="N62" s="41">
        <f t="shared" si="20"/>
        <v>25380</v>
      </c>
    </row>
    <row r="63" spans="1:25" ht="15.5">
      <c r="A63" s="166" t="s">
        <v>77</v>
      </c>
      <c r="B63" s="14" t="s">
        <v>92</v>
      </c>
      <c r="C63" s="35">
        <v>234</v>
      </c>
      <c r="D63" s="35">
        <v>222</v>
      </c>
      <c r="E63" s="35">
        <v>243</v>
      </c>
      <c r="F63" s="35">
        <v>247</v>
      </c>
      <c r="G63" s="35">
        <v>287</v>
      </c>
      <c r="H63" s="35">
        <v>297</v>
      </c>
      <c r="I63" s="35">
        <v>800</v>
      </c>
      <c r="J63" s="35">
        <v>826</v>
      </c>
      <c r="K63" s="35">
        <v>864</v>
      </c>
      <c r="L63" s="35">
        <v>888</v>
      </c>
      <c r="M63" s="35">
        <v>897</v>
      </c>
      <c r="N63" s="35">
        <v>234</v>
      </c>
      <c r="Y63" s="7">
        <v>974</v>
      </c>
    </row>
    <row r="64" spans="1:25" ht="31">
      <c r="A64" s="162"/>
      <c r="B64" s="14" t="s">
        <v>141</v>
      </c>
      <c r="C64" s="35">
        <v>35</v>
      </c>
      <c r="D64" s="35">
        <v>35</v>
      </c>
      <c r="E64" s="35">
        <v>35</v>
      </c>
      <c r="F64" s="35">
        <v>35</v>
      </c>
      <c r="G64" s="35">
        <v>35</v>
      </c>
      <c r="H64" s="35">
        <v>35</v>
      </c>
      <c r="I64" s="35">
        <v>35</v>
      </c>
      <c r="J64" s="35">
        <v>35</v>
      </c>
      <c r="K64" s="35">
        <v>35</v>
      </c>
      <c r="L64" s="35">
        <v>35</v>
      </c>
      <c r="M64" s="35">
        <v>35</v>
      </c>
      <c r="N64" s="35">
        <v>35</v>
      </c>
    </row>
    <row r="65" spans="1:14" ht="31">
      <c r="A65" s="147"/>
      <c r="B65" s="39" t="s">
        <v>187</v>
      </c>
      <c r="C65" s="41">
        <f t="shared" ref="C65:N65" si="21">PRODUCT(C64,C63)</f>
        <v>8190</v>
      </c>
      <c r="D65" s="41">
        <f t="shared" si="21"/>
        <v>7770</v>
      </c>
      <c r="E65" s="41">
        <f t="shared" si="21"/>
        <v>8505</v>
      </c>
      <c r="F65" s="41">
        <f t="shared" si="21"/>
        <v>8645</v>
      </c>
      <c r="G65" s="41">
        <f t="shared" si="21"/>
        <v>10045</v>
      </c>
      <c r="H65" s="41">
        <f t="shared" si="21"/>
        <v>10395</v>
      </c>
      <c r="I65" s="41">
        <f t="shared" si="21"/>
        <v>28000</v>
      </c>
      <c r="J65" s="41">
        <f t="shared" si="21"/>
        <v>28910</v>
      </c>
      <c r="K65" s="41">
        <f t="shared" si="21"/>
        <v>30240</v>
      </c>
      <c r="L65" s="41">
        <f t="shared" si="21"/>
        <v>31080</v>
      </c>
      <c r="M65" s="41">
        <f t="shared" si="21"/>
        <v>31395</v>
      </c>
      <c r="N65" s="41">
        <f t="shared" si="21"/>
        <v>8190</v>
      </c>
    </row>
    <row r="66" spans="1:14" ht="15.5">
      <c r="A66" s="166" t="s">
        <v>79</v>
      </c>
      <c r="B66" s="14" t="s">
        <v>92</v>
      </c>
      <c r="C66" s="35">
        <v>123</v>
      </c>
      <c r="D66" s="35">
        <v>123</v>
      </c>
      <c r="E66" s="35">
        <v>132</v>
      </c>
      <c r="F66" s="35">
        <v>123</v>
      </c>
      <c r="G66" s="35">
        <v>111</v>
      </c>
      <c r="H66" s="35">
        <v>122</v>
      </c>
      <c r="I66" s="35">
        <v>500</v>
      </c>
      <c r="J66" s="35">
        <v>567</v>
      </c>
      <c r="K66" s="35">
        <v>765</v>
      </c>
      <c r="L66" s="35">
        <v>845</v>
      </c>
      <c r="M66" s="35">
        <v>945</v>
      </c>
      <c r="N66" s="35">
        <v>846</v>
      </c>
    </row>
    <row r="67" spans="1:14" ht="31">
      <c r="A67" s="162"/>
      <c r="B67" s="14" t="s">
        <v>141</v>
      </c>
      <c r="C67" s="35">
        <v>35</v>
      </c>
      <c r="D67" s="35">
        <v>35</v>
      </c>
      <c r="E67" s="35">
        <v>35</v>
      </c>
      <c r="F67" s="35">
        <v>35</v>
      </c>
      <c r="G67" s="35">
        <v>35</v>
      </c>
      <c r="H67" s="35">
        <v>35</v>
      </c>
      <c r="I67" s="35">
        <v>35</v>
      </c>
      <c r="J67" s="35">
        <v>35</v>
      </c>
      <c r="K67" s="35">
        <v>35</v>
      </c>
      <c r="L67" s="35">
        <v>35</v>
      </c>
      <c r="M67" s="35">
        <v>35</v>
      </c>
      <c r="N67" s="35">
        <v>35</v>
      </c>
    </row>
    <row r="68" spans="1:14" ht="31">
      <c r="A68" s="147"/>
      <c r="B68" s="39" t="s">
        <v>187</v>
      </c>
      <c r="C68" s="41">
        <f t="shared" ref="C68:N68" si="22">PRODUCT(C67,C66)</f>
        <v>4305</v>
      </c>
      <c r="D68" s="41">
        <f t="shared" si="22"/>
        <v>4305</v>
      </c>
      <c r="E68" s="41">
        <f t="shared" si="22"/>
        <v>4620</v>
      </c>
      <c r="F68" s="41">
        <f t="shared" si="22"/>
        <v>4305</v>
      </c>
      <c r="G68" s="41">
        <f t="shared" si="22"/>
        <v>3885</v>
      </c>
      <c r="H68" s="41">
        <f t="shared" si="22"/>
        <v>4270</v>
      </c>
      <c r="I68" s="41">
        <f t="shared" si="22"/>
        <v>17500</v>
      </c>
      <c r="J68" s="41">
        <f t="shared" si="22"/>
        <v>19845</v>
      </c>
      <c r="K68" s="41">
        <f t="shared" si="22"/>
        <v>26775</v>
      </c>
      <c r="L68" s="41">
        <f t="shared" si="22"/>
        <v>29575</v>
      </c>
      <c r="M68" s="41">
        <f t="shared" si="22"/>
        <v>33075</v>
      </c>
      <c r="N68" s="41">
        <f t="shared" si="22"/>
        <v>29610</v>
      </c>
    </row>
    <row r="69" spans="1:14" ht="15.5">
      <c r="A69" s="166" t="s">
        <v>81</v>
      </c>
      <c r="B69" s="14" t="s">
        <v>92</v>
      </c>
      <c r="C69" s="35">
        <v>111</v>
      </c>
      <c r="D69" s="35">
        <v>112</v>
      </c>
      <c r="E69" s="35">
        <v>115</v>
      </c>
      <c r="F69" s="35">
        <v>114</v>
      </c>
      <c r="G69" s="35">
        <v>123</v>
      </c>
      <c r="H69" s="35">
        <v>123</v>
      </c>
      <c r="I69" s="35">
        <v>135</v>
      </c>
      <c r="J69" s="35">
        <v>500</v>
      </c>
      <c r="K69" s="35">
        <v>565</v>
      </c>
      <c r="L69" s="35">
        <v>575</v>
      </c>
      <c r="M69" s="35">
        <v>585</v>
      </c>
      <c r="N69" s="35">
        <v>600</v>
      </c>
    </row>
    <row r="70" spans="1:14" ht="31">
      <c r="A70" s="162"/>
      <c r="B70" s="14" t="s">
        <v>141</v>
      </c>
      <c r="C70" s="35">
        <v>45</v>
      </c>
      <c r="D70" s="35">
        <v>45</v>
      </c>
      <c r="E70" s="35">
        <v>45</v>
      </c>
      <c r="F70" s="35">
        <v>45</v>
      </c>
      <c r="G70" s="35">
        <v>45</v>
      </c>
      <c r="H70" s="35">
        <v>45</v>
      </c>
      <c r="I70" s="35">
        <v>45</v>
      </c>
      <c r="J70" s="35">
        <v>45</v>
      </c>
      <c r="K70" s="35">
        <v>45</v>
      </c>
      <c r="L70" s="35">
        <v>45</v>
      </c>
      <c r="M70" s="35">
        <v>45</v>
      </c>
      <c r="N70" s="35">
        <v>45</v>
      </c>
    </row>
    <row r="71" spans="1:14" ht="31">
      <c r="A71" s="147"/>
      <c r="B71" s="39" t="s">
        <v>187</v>
      </c>
      <c r="C71" s="41">
        <f t="shared" ref="C71:N71" si="23">PRODUCT(C70,C69)</f>
        <v>4995</v>
      </c>
      <c r="D71" s="41">
        <f t="shared" si="23"/>
        <v>5040</v>
      </c>
      <c r="E71" s="41">
        <f t="shared" si="23"/>
        <v>5175</v>
      </c>
      <c r="F71" s="41">
        <f t="shared" si="23"/>
        <v>5130</v>
      </c>
      <c r="G71" s="41">
        <f t="shared" si="23"/>
        <v>5535</v>
      </c>
      <c r="H71" s="41">
        <f t="shared" si="23"/>
        <v>5535</v>
      </c>
      <c r="I71" s="41">
        <f t="shared" si="23"/>
        <v>6075</v>
      </c>
      <c r="J71" s="41">
        <f t="shared" si="23"/>
        <v>22500</v>
      </c>
      <c r="K71" s="41">
        <f t="shared" si="23"/>
        <v>25425</v>
      </c>
      <c r="L71" s="41">
        <f t="shared" si="23"/>
        <v>25875</v>
      </c>
      <c r="M71" s="41">
        <f t="shared" si="23"/>
        <v>26325</v>
      </c>
      <c r="N71" s="41">
        <f t="shared" si="23"/>
        <v>27000</v>
      </c>
    </row>
    <row r="72" spans="1:14" ht="15.5">
      <c r="A72" s="166" t="s">
        <v>82</v>
      </c>
      <c r="B72" s="14" t="s">
        <v>92</v>
      </c>
      <c r="C72" s="35">
        <v>751</v>
      </c>
      <c r="D72" s="35">
        <v>852</v>
      </c>
      <c r="E72" s="35">
        <v>854</v>
      </c>
      <c r="F72" s="35">
        <v>984</v>
      </c>
      <c r="G72" s="35">
        <v>1000</v>
      </c>
      <c r="H72" s="35">
        <v>1012</v>
      </c>
      <c r="I72" s="35">
        <v>1023</v>
      </c>
      <c r="J72" s="35">
        <v>1075</v>
      </c>
      <c r="K72" s="35">
        <v>252</v>
      </c>
      <c r="L72" s="35">
        <v>231</v>
      </c>
      <c r="M72" s="35">
        <v>200</v>
      </c>
      <c r="N72" s="35">
        <v>121</v>
      </c>
    </row>
    <row r="73" spans="1:14" ht="31">
      <c r="A73" s="162"/>
      <c r="B73" s="14" t="s">
        <v>141</v>
      </c>
      <c r="C73" s="35">
        <v>35</v>
      </c>
      <c r="D73" s="35">
        <v>35</v>
      </c>
      <c r="E73" s="35">
        <v>35</v>
      </c>
      <c r="F73" s="35">
        <v>35</v>
      </c>
      <c r="G73" s="35">
        <v>35</v>
      </c>
      <c r="H73" s="35">
        <v>35</v>
      </c>
      <c r="I73" s="35">
        <v>35</v>
      </c>
      <c r="J73" s="35">
        <v>35</v>
      </c>
      <c r="K73" s="35">
        <v>35</v>
      </c>
      <c r="L73" s="35">
        <v>35</v>
      </c>
      <c r="M73" s="35">
        <v>35</v>
      </c>
      <c r="N73" s="35">
        <v>35</v>
      </c>
    </row>
    <row r="74" spans="1:14" ht="31">
      <c r="A74" s="147"/>
      <c r="B74" s="39" t="s">
        <v>187</v>
      </c>
      <c r="C74" s="41">
        <f t="shared" ref="C74:N74" si="24">PRODUCT(C72,C73)</f>
        <v>26285</v>
      </c>
      <c r="D74" s="41">
        <f t="shared" si="24"/>
        <v>29820</v>
      </c>
      <c r="E74" s="41">
        <f t="shared" si="24"/>
        <v>29890</v>
      </c>
      <c r="F74" s="41">
        <f t="shared" si="24"/>
        <v>34440</v>
      </c>
      <c r="G74" s="41">
        <f t="shared" si="24"/>
        <v>35000</v>
      </c>
      <c r="H74" s="41">
        <f t="shared" si="24"/>
        <v>35420</v>
      </c>
      <c r="I74" s="41">
        <f t="shared" si="24"/>
        <v>35805</v>
      </c>
      <c r="J74" s="41">
        <f t="shared" si="24"/>
        <v>37625</v>
      </c>
      <c r="K74" s="41">
        <f t="shared" si="24"/>
        <v>8820</v>
      </c>
      <c r="L74" s="41">
        <f t="shared" si="24"/>
        <v>8085</v>
      </c>
      <c r="M74" s="41">
        <f t="shared" si="24"/>
        <v>7000</v>
      </c>
      <c r="N74" s="41">
        <f t="shared" si="24"/>
        <v>4235</v>
      </c>
    </row>
    <row r="75" spans="1:14" ht="15.5">
      <c r="A75" s="166" t="s">
        <v>83</v>
      </c>
      <c r="B75" s="14" t="s">
        <v>92</v>
      </c>
      <c r="C75" s="35">
        <v>550</v>
      </c>
      <c r="D75" s="35">
        <v>556</v>
      </c>
      <c r="E75" s="35">
        <v>575</v>
      </c>
      <c r="F75" s="35">
        <v>585</v>
      </c>
      <c r="G75" s="35">
        <v>756</v>
      </c>
      <c r="H75" s="35">
        <v>770</v>
      </c>
      <c r="I75" s="35">
        <v>800</v>
      </c>
      <c r="J75" s="35">
        <v>775</v>
      </c>
      <c r="K75" s="35">
        <v>780</v>
      </c>
      <c r="L75" s="35">
        <v>400</v>
      </c>
      <c r="M75" s="35">
        <v>423</v>
      </c>
      <c r="N75" s="35">
        <v>431</v>
      </c>
    </row>
    <row r="76" spans="1:14" ht="31">
      <c r="A76" s="162"/>
      <c r="B76" s="14" t="s">
        <v>141</v>
      </c>
      <c r="C76" s="35">
        <v>30</v>
      </c>
      <c r="D76" s="35">
        <v>30</v>
      </c>
      <c r="E76" s="35">
        <v>30</v>
      </c>
      <c r="F76" s="35">
        <v>30</v>
      </c>
      <c r="G76" s="35">
        <v>30</v>
      </c>
      <c r="H76" s="35">
        <v>30</v>
      </c>
      <c r="I76" s="35">
        <v>30</v>
      </c>
      <c r="J76" s="35">
        <v>30</v>
      </c>
      <c r="K76" s="35">
        <v>30</v>
      </c>
      <c r="L76" s="35">
        <v>30</v>
      </c>
      <c r="M76" s="35">
        <v>30</v>
      </c>
      <c r="N76" s="35">
        <v>30</v>
      </c>
    </row>
    <row r="77" spans="1:14" ht="31">
      <c r="A77" s="147"/>
      <c r="B77" s="39" t="s">
        <v>187</v>
      </c>
      <c r="C77" s="41">
        <f t="shared" ref="C77:N77" si="25">PRODUCT(C76,C75)</f>
        <v>16500</v>
      </c>
      <c r="D77" s="41">
        <f t="shared" si="25"/>
        <v>16680</v>
      </c>
      <c r="E77" s="41">
        <f t="shared" si="25"/>
        <v>17250</v>
      </c>
      <c r="F77" s="41">
        <f t="shared" si="25"/>
        <v>17550</v>
      </c>
      <c r="G77" s="41">
        <f t="shared" si="25"/>
        <v>22680</v>
      </c>
      <c r="H77" s="41">
        <f t="shared" si="25"/>
        <v>23100</v>
      </c>
      <c r="I77" s="41">
        <f t="shared" si="25"/>
        <v>24000</v>
      </c>
      <c r="J77" s="41">
        <f t="shared" si="25"/>
        <v>23250</v>
      </c>
      <c r="K77" s="41">
        <f t="shared" si="25"/>
        <v>23400</v>
      </c>
      <c r="L77" s="41">
        <f t="shared" si="25"/>
        <v>12000</v>
      </c>
      <c r="M77" s="41">
        <f t="shared" si="25"/>
        <v>12690</v>
      </c>
      <c r="N77" s="41">
        <f t="shared" si="25"/>
        <v>12930</v>
      </c>
    </row>
    <row r="78" spans="1:14" ht="15.5">
      <c r="A78" s="166" t="s">
        <v>84</v>
      </c>
      <c r="B78" s="14" t="s">
        <v>92</v>
      </c>
      <c r="C78" s="35">
        <v>511</v>
      </c>
      <c r="D78" s="35">
        <v>552</v>
      </c>
      <c r="E78" s="35">
        <v>520</v>
      </c>
      <c r="F78" s="35">
        <v>650</v>
      </c>
      <c r="G78" s="35">
        <v>653</v>
      </c>
      <c r="H78" s="35">
        <v>656</v>
      </c>
      <c r="I78" s="35">
        <v>682</v>
      </c>
      <c r="J78" s="35">
        <v>684</v>
      </c>
      <c r="K78" s="35">
        <v>421</v>
      </c>
      <c r="L78" s="35">
        <v>456</v>
      </c>
      <c r="M78" s="35">
        <v>478</v>
      </c>
      <c r="N78" s="35">
        <v>457</v>
      </c>
    </row>
    <row r="79" spans="1:14" ht="31">
      <c r="A79" s="162"/>
      <c r="B79" s="14" t="s">
        <v>141</v>
      </c>
      <c r="C79" s="35">
        <v>30</v>
      </c>
      <c r="D79" s="35">
        <v>30</v>
      </c>
      <c r="E79" s="35">
        <v>30</v>
      </c>
      <c r="F79" s="35">
        <v>30</v>
      </c>
      <c r="G79" s="35">
        <v>30</v>
      </c>
      <c r="H79" s="35">
        <v>30</v>
      </c>
      <c r="I79" s="35">
        <v>30</v>
      </c>
      <c r="J79" s="35">
        <v>30</v>
      </c>
      <c r="K79" s="35">
        <v>30</v>
      </c>
      <c r="L79" s="35">
        <v>30</v>
      </c>
      <c r="M79" s="35">
        <v>30</v>
      </c>
      <c r="N79" s="35">
        <v>30</v>
      </c>
    </row>
    <row r="80" spans="1:14" ht="31">
      <c r="A80" s="147"/>
      <c r="B80" s="39" t="s">
        <v>187</v>
      </c>
      <c r="C80" s="41">
        <f t="shared" ref="C80:N80" si="26">PRODUCT(C79,C78)</f>
        <v>15330</v>
      </c>
      <c r="D80" s="41">
        <f t="shared" si="26"/>
        <v>16560</v>
      </c>
      <c r="E80" s="41">
        <f t="shared" si="26"/>
        <v>15600</v>
      </c>
      <c r="F80" s="41">
        <f t="shared" si="26"/>
        <v>19500</v>
      </c>
      <c r="G80" s="41">
        <f t="shared" si="26"/>
        <v>19590</v>
      </c>
      <c r="H80" s="41">
        <f t="shared" si="26"/>
        <v>19680</v>
      </c>
      <c r="I80" s="41">
        <f t="shared" si="26"/>
        <v>20460</v>
      </c>
      <c r="J80" s="41">
        <f t="shared" si="26"/>
        <v>20520</v>
      </c>
      <c r="K80" s="41">
        <f t="shared" si="26"/>
        <v>12630</v>
      </c>
      <c r="L80" s="41">
        <f t="shared" si="26"/>
        <v>13680</v>
      </c>
      <c r="M80" s="41">
        <f t="shared" si="26"/>
        <v>14340</v>
      </c>
      <c r="N80" s="41">
        <f t="shared" si="26"/>
        <v>13710</v>
      </c>
    </row>
    <row r="81" spans="1:14" ht="15.5">
      <c r="A81" s="166" t="s">
        <v>87</v>
      </c>
      <c r="B81" s="14" t="s">
        <v>92</v>
      </c>
      <c r="C81" s="35">
        <v>123</v>
      </c>
      <c r="D81" s="35">
        <v>124</v>
      </c>
      <c r="E81" s="35">
        <v>150</v>
      </c>
      <c r="F81" s="35">
        <v>215</v>
      </c>
      <c r="G81" s="35">
        <v>267</v>
      </c>
      <c r="H81" s="35">
        <v>250</v>
      </c>
      <c r="I81" s="35">
        <v>270</v>
      </c>
      <c r="J81" s="35">
        <v>288</v>
      </c>
      <c r="K81" s="35">
        <v>212</v>
      </c>
      <c r="L81" s="35">
        <v>213</v>
      </c>
      <c r="M81" s="35">
        <v>214</v>
      </c>
      <c r="N81" s="35">
        <v>230</v>
      </c>
    </row>
    <row r="82" spans="1:14" ht="31">
      <c r="A82" s="162"/>
      <c r="B82" s="14" t="s">
        <v>141</v>
      </c>
      <c r="C82" s="35">
        <v>100</v>
      </c>
      <c r="D82" s="35">
        <v>100</v>
      </c>
      <c r="E82" s="35">
        <v>100</v>
      </c>
      <c r="F82" s="35">
        <v>100</v>
      </c>
      <c r="G82" s="35">
        <v>100</v>
      </c>
      <c r="H82" s="35">
        <v>100</v>
      </c>
      <c r="I82" s="35">
        <v>100</v>
      </c>
      <c r="J82" s="35">
        <v>100</v>
      </c>
      <c r="K82" s="35">
        <v>100</v>
      </c>
      <c r="L82" s="35">
        <v>100</v>
      </c>
      <c r="M82" s="35">
        <v>100</v>
      </c>
      <c r="N82" s="35">
        <v>100</v>
      </c>
    </row>
    <row r="83" spans="1:14" ht="31">
      <c r="A83" s="147"/>
      <c r="B83" s="39" t="s">
        <v>187</v>
      </c>
      <c r="C83" s="41">
        <f t="shared" ref="C83:N83" si="27">PRODUCT(C82,C81)</f>
        <v>12300</v>
      </c>
      <c r="D83" s="41">
        <f t="shared" si="27"/>
        <v>12400</v>
      </c>
      <c r="E83" s="41">
        <f t="shared" si="27"/>
        <v>15000</v>
      </c>
      <c r="F83" s="41">
        <f t="shared" si="27"/>
        <v>21500</v>
      </c>
      <c r="G83" s="41">
        <f t="shared" si="27"/>
        <v>26700</v>
      </c>
      <c r="H83" s="41">
        <f t="shared" si="27"/>
        <v>25000</v>
      </c>
      <c r="I83" s="41">
        <f t="shared" si="27"/>
        <v>27000</v>
      </c>
      <c r="J83" s="41">
        <f t="shared" si="27"/>
        <v>28800</v>
      </c>
      <c r="K83" s="41">
        <f t="shared" si="27"/>
        <v>21200</v>
      </c>
      <c r="L83" s="41">
        <f t="shared" si="27"/>
        <v>21300</v>
      </c>
      <c r="M83" s="41">
        <f t="shared" si="27"/>
        <v>21400</v>
      </c>
      <c r="N83" s="41">
        <f t="shared" si="27"/>
        <v>23000</v>
      </c>
    </row>
    <row r="84" spans="1:14" ht="43.5" customHeight="1">
      <c r="A84" s="167" t="s">
        <v>283</v>
      </c>
      <c r="B84" s="150"/>
      <c r="C84" s="133">
        <f t="shared" ref="C84:N84" si="28">SUM(C5+C8+C11+C14+C17+C20+C23+C26+C29+C32+C35+C38+C41+C44+C47+C50+C53+C56+C59+C62+C65+C68+C71+C74+C77+C80+C83)</f>
        <v>399155</v>
      </c>
      <c r="D84" s="133">
        <f t="shared" si="28"/>
        <v>426070</v>
      </c>
      <c r="E84" s="133">
        <f t="shared" si="28"/>
        <v>422344</v>
      </c>
      <c r="F84" s="133">
        <f t="shared" si="28"/>
        <v>486874</v>
      </c>
      <c r="G84" s="133">
        <f t="shared" si="28"/>
        <v>500760</v>
      </c>
      <c r="H84" s="133">
        <f t="shared" si="28"/>
        <v>511145</v>
      </c>
      <c r="I84" s="133">
        <f t="shared" si="28"/>
        <v>563612</v>
      </c>
      <c r="J84" s="133">
        <f t="shared" si="28"/>
        <v>590758</v>
      </c>
      <c r="K84" s="133">
        <f t="shared" si="28"/>
        <v>551271</v>
      </c>
      <c r="L84" s="133">
        <f t="shared" si="28"/>
        <v>537803</v>
      </c>
      <c r="M84" s="133">
        <f t="shared" si="28"/>
        <v>530415</v>
      </c>
      <c r="N84" s="133">
        <f t="shared" si="28"/>
        <v>501977</v>
      </c>
    </row>
    <row r="85" spans="1:14" ht="44.25" customHeight="1">
      <c r="A85" s="167" t="s">
        <v>285</v>
      </c>
      <c r="B85" s="150"/>
      <c r="C85" s="168">
        <f>SUM(C84:N84)</f>
        <v>6022184</v>
      </c>
      <c r="D85" s="149"/>
      <c r="E85" s="149"/>
      <c r="F85" s="149"/>
      <c r="G85" s="149"/>
      <c r="H85" s="149"/>
      <c r="I85" s="149"/>
      <c r="J85" s="149"/>
      <c r="K85" s="149"/>
      <c r="L85" s="149"/>
      <c r="M85" s="149"/>
      <c r="N85" s="150"/>
    </row>
  </sheetData>
  <mergeCells count="32">
    <mergeCell ref="A57:A59"/>
    <mergeCell ref="A81:A83"/>
    <mergeCell ref="A84:B84"/>
    <mergeCell ref="A85:B85"/>
    <mergeCell ref="C85:N85"/>
    <mergeCell ref="A60:A62"/>
    <mergeCell ref="A63:A65"/>
    <mergeCell ref="A66:A68"/>
    <mergeCell ref="A69:A71"/>
    <mergeCell ref="A72:A74"/>
    <mergeCell ref="A75:A77"/>
    <mergeCell ref="A78:A80"/>
    <mergeCell ref="A39:A41"/>
    <mergeCell ref="A42:A44"/>
    <mergeCell ref="A45:A47"/>
    <mergeCell ref="A48:A50"/>
    <mergeCell ref="A51:A53"/>
    <mergeCell ref="A24:A26"/>
    <mergeCell ref="A27:A29"/>
    <mergeCell ref="A30:A32"/>
    <mergeCell ref="A33:A35"/>
    <mergeCell ref="A36:A38"/>
    <mergeCell ref="A9:A11"/>
    <mergeCell ref="A12:A14"/>
    <mergeCell ref="A15:A17"/>
    <mergeCell ref="A18:A20"/>
    <mergeCell ref="A21:A23"/>
    <mergeCell ref="A1:A2"/>
    <mergeCell ref="B1:B2"/>
    <mergeCell ref="C1:N1"/>
    <mergeCell ref="A3:A5"/>
    <mergeCell ref="A6:A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8"/>
  <sheetViews>
    <sheetView workbookViewId="0"/>
  </sheetViews>
  <sheetFormatPr defaultColWidth="12.6328125" defaultRowHeight="15.75" customHeight="1"/>
  <cols>
    <col min="1" max="1" width="27.36328125" customWidth="1"/>
    <col min="3" max="3" width="23.90625" customWidth="1"/>
    <col min="4" max="4" width="51" customWidth="1"/>
    <col min="5" max="5" width="21.36328125" customWidth="1"/>
    <col min="6" max="6" width="24.36328125" customWidth="1"/>
  </cols>
  <sheetData>
    <row r="1" spans="1:8">
      <c r="A1" s="4" t="s">
        <v>0</v>
      </c>
      <c r="B1" s="4" t="s">
        <v>1</v>
      </c>
      <c r="C1" s="4" t="s">
        <v>2</v>
      </c>
      <c r="D1" s="4" t="s">
        <v>4</v>
      </c>
      <c r="E1" s="4" t="s">
        <v>5</v>
      </c>
      <c r="F1" s="8" t="s">
        <v>6</v>
      </c>
    </row>
    <row r="2" spans="1:8">
      <c r="A2" s="11" t="s">
        <v>7</v>
      </c>
      <c r="B2" s="14">
        <v>1</v>
      </c>
      <c r="C2" s="16" t="s">
        <v>14</v>
      </c>
      <c r="D2" s="11" t="s">
        <v>17</v>
      </c>
      <c r="E2" s="11" t="s">
        <v>19</v>
      </c>
      <c r="F2" s="17" t="s">
        <v>20</v>
      </c>
    </row>
    <row r="3" spans="1:8">
      <c r="A3" s="11" t="s">
        <v>24</v>
      </c>
      <c r="B3" s="14">
        <v>6</v>
      </c>
      <c r="C3" s="16" t="s">
        <v>26</v>
      </c>
      <c r="D3" s="11" t="s">
        <v>28</v>
      </c>
      <c r="E3" s="11" t="s">
        <v>29</v>
      </c>
      <c r="F3" s="17" t="s">
        <v>31</v>
      </c>
    </row>
    <row r="4" spans="1:8">
      <c r="A4" s="169" t="s">
        <v>33</v>
      </c>
      <c r="B4" s="170">
        <v>4</v>
      </c>
      <c r="C4" s="16" t="s">
        <v>46</v>
      </c>
      <c r="D4" s="169" t="s">
        <v>48</v>
      </c>
      <c r="E4" s="169" t="s">
        <v>49</v>
      </c>
      <c r="F4" s="171" t="s">
        <v>50</v>
      </c>
    </row>
    <row r="5" spans="1:8">
      <c r="A5" s="147"/>
      <c r="B5" s="147"/>
      <c r="C5" s="16" t="s">
        <v>55</v>
      </c>
      <c r="D5" s="147"/>
      <c r="E5" s="147"/>
      <c r="F5" s="147"/>
    </row>
    <row r="6" spans="1:8">
      <c r="A6" s="11" t="s">
        <v>58</v>
      </c>
      <c r="B6" s="14">
        <v>1</v>
      </c>
      <c r="C6" s="16" t="s">
        <v>60</v>
      </c>
      <c r="D6" s="11" t="s">
        <v>63</v>
      </c>
      <c r="E6" s="11" t="s">
        <v>64</v>
      </c>
      <c r="F6" s="17" t="s">
        <v>66</v>
      </c>
    </row>
    <row r="7" spans="1:8">
      <c r="A7" s="11" t="s">
        <v>69</v>
      </c>
      <c r="B7" s="14">
        <f>SUM(B2:B6)</f>
        <v>12</v>
      </c>
      <c r="C7" s="25"/>
      <c r="D7" s="25"/>
      <c r="E7" s="11" t="s">
        <v>85</v>
      </c>
      <c r="F7" s="11" t="s">
        <v>86</v>
      </c>
    </row>
    <row r="8" spans="1:8" ht="15.75" customHeight="1">
      <c r="H8" s="28"/>
    </row>
  </sheetData>
  <mergeCells count="5">
    <mergeCell ref="A4:A5"/>
    <mergeCell ref="B4:B5"/>
    <mergeCell ref="D4:D5"/>
    <mergeCell ref="E4:E5"/>
    <mergeCell ref="F4:F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
  <sheetViews>
    <sheetView workbookViewId="0"/>
  </sheetViews>
  <sheetFormatPr defaultColWidth="12.6328125" defaultRowHeight="15.75" customHeight="1"/>
  <cols>
    <col min="1" max="1" width="7.26953125" customWidth="1"/>
    <col min="2" max="2" width="33.36328125" customWidth="1"/>
    <col min="3" max="3" width="61.90625" customWidth="1"/>
    <col min="4" max="4" width="29.08984375" customWidth="1"/>
  </cols>
  <sheetData>
    <row r="1" spans="1:4" ht="16.5">
      <c r="A1" s="40"/>
      <c r="B1" s="40"/>
      <c r="C1" s="40"/>
      <c r="D1" s="40"/>
    </row>
    <row r="2" spans="1:4" ht="16.5">
      <c r="A2" s="13" t="s">
        <v>9</v>
      </c>
      <c r="B2" s="13" t="s">
        <v>98</v>
      </c>
      <c r="C2" s="13" t="s">
        <v>99</v>
      </c>
      <c r="D2" s="13" t="s">
        <v>100</v>
      </c>
    </row>
    <row r="3" spans="1:4" ht="99">
      <c r="A3" s="42">
        <v>1</v>
      </c>
      <c r="B3" s="42" t="s">
        <v>105</v>
      </c>
      <c r="C3" s="45" t="s">
        <v>106</v>
      </c>
      <c r="D3" s="47">
        <v>10000</v>
      </c>
    </row>
    <row r="4" spans="1:4" ht="33">
      <c r="A4" s="42">
        <v>2</v>
      </c>
      <c r="B4" s="42" t="s">
        <v>108</v>
      </c>
      <c r="C4" s="45" t="s">
        <v>109</v>
      </c>
      <c r="D4" s="47">
        <v>8000</v>
      </c>
    </row>
    <row r="5" spans="1:4" ht="50.25" customHeight="1">
      <c r="A5" s="42">
        <v>3</v>
      </c>
      <c r="B5" s="42" t="s">
        <v>112</v>
      </c>
      <c r="C5" s="45" t="s">
        <v>113</v>
      </c>
      <c r="D5" s="47">
        <v>5000</v>
      </c>
    </row>
    <row r="6" spans="1:4" ht="33">
      <c r="A6" s="42">
        <v>4</v>
      </c>
      <c r="B6" s="45" t="s">
        <v>114</v>
      </c>
      <c r="C6" s="45" t="s">
        <v>115</v>
      </c>
      <c r="D6" s="47">
        <v>2000</v>
      </c>
    </row>
    <row r="7" spans="1:4" ht="39.75" customHeight="1">
      <c r="A7" s="42">
        <v>5</v>
      </c>
      <c r="B7" s="45" t="s">
        <v>116</v>
      </c>
      <c r="C7" s="45" t="s">
        <v>117</v>
      </c>
      <c r="D7" s="47">
        <v>1000</v>
      </c>
    </row>
    <row r="8" spans="1:4" ht="39.75" customHeight="1">
      <c r="A8" s="172" t="s">
        <v>69</v>
      </c>
      <c r="B8" s="149"/>
      <c r="C8" s="150"/>
      <c r="D8" s="54">
        <f>SUM(D7,D6,D5,D4,D3)</f>
        <v>26000</v>
      </c>
    </row>
    <row r="9" spans="1:4" ht="26.25" customHeight="1"/>
  </sheetData>
  <mergeCells count="1">
    <mergeCell ref="A8:C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heetViews>
  <sheetFormatPr defaultColWidth="12.6328125" defaultRowHeight="15.75" customHeight="1"/>
  <cols>
    <col min="2" max="2" width="20.90625" customWidth="1"/>
    <col min="3" max="3" width="55.36328125" customWidth="1"/>
    <col min="4" max="4" width="52" customWidth="1"/>
  </cols>
  <sheetData>
    <row r="1" spans="1:26">
      <c r="A1" s="13" t="s">
        <v>102</v>
      </c>
      <c r="B1" s="13" t="s">
        <v>10</v>
      </c>
      <c r="C1" s="13" t="s">
        <v>103</v>
      </c>
      <c r="D1" s="13" t="s">
        <v>104</v>
      </c>
      <c r="E1" s="43"/>
      <c r="F1" s="43"/>
      <c r="G1" s="46"/>
      <c r="H1" s="46"/>
      <c r="I1" s="46"/>
      <c r="J1" s="46"/>
      <c r="K1" s="46"/>
      <c r="L1" s="46"/>
      <c r="M1" s="46"/>
      <c r="N1" s="46"/>
      <c r="O1" s="46"/>
      <c r="P1" s="46"/>
      <c r="Q1" s="46"/>
      <c r="R1" s="46"/>
      <c r="S1" s="46"/>
      <c r="T1" s="46"/>
      <c r="U1" s="46"/>
      <c r="V1" s="46"/>
      <c r="W1" s="46"/>
      <c r="X1" s="46"/>
      <c r="Y1" s="46"/>
      <c r="Z1" s="46"/>
    </row>
    <row r="2" spans="1:26">
      <c r="A2" s="42">
        <v>1</v>
      </c>
      <c r="B2" s="42" t="s">
        <v>16</v>
      </c>
      <c r="C2" s="42" t="s">
        <v>110</v>
      </c>
      <c r="D2" s="42" t="s">
        <v>111</v>
      </c>
      <c r="E2" s="49"/>
      <c r="F2" s="173"/>
      <c r="G2" s="153"/>
      <c r="H2" s="153"/>
      <c r="I2" s="153"/>
      <c r="J2" s="46"/>
      <c r="K2" s="46"/>
      <c r="L2" s="46"/>
      <c r="M2" s="46"/>
      <c r="N2" s="46"/>
      <c r="O2" s="46"/>
      <c r="P2" s="46"/>
      <c r="Q2" s="46"/>
      <c r="R2" s="46"/>
      <c r="S2" s="46"/>
      <c r="T2" s="46"/>
      <c r="U2" s="46"/>
      <c r="V2" s="46"/>
      <c r="W2" s="46"/>
      <c r="X2" s="46"/>
      <c r="Y2" s="46"/>
      <c r="Z2" s="46"/>
    </row>
    <row r="3" spans="1:26">
      <c r="A3" s="42">
        <v>2</v>
      </c>
      <c r="B3" s="42" t="s">
        <v>18</v>
      </c>
      <c r="C3" s="42" t="s">
        <v>119</v>
      </c>
      <c r="D3" s="42" t="s">
        <v>120</v>
      </c>
      <c r="E3" s="52"/>
      <c r="F3" s="53"/>
      <c r="G3" s="46"/>
      <c r="H3" s="46"/>
      <c r="I3" s="46"/>
      <c r="J3" s="46"/>
      <c r="K3" s="46"/>
      <c r="L3" s="46"/>
      <c r="M3" s="46"/>
      <c r="N3" s="46"/>
      <c r="O3" s="46"/>
      <c r="P3" s="46"/>
      <c r="Q3" s="46"/>
      <c r="R3" s="46"/>
      <c r="S3" s="46"/>
      <c r="T3" s="46"/>
      <c r="U3" s="46"/>
      <c r="V3" s="46"/>
      <c r="W3" s="46"/>
      <c r="X3" s="46"/>
      <c r="Y3" s="46"/>
      <c r="Z3" s="46"/>
    </row>
    <row r="4" spans="1:26">
      <c r="A4" s="42">
        <v>3</v>
      </c>
      <c r="B4" s="42" t="s">
        <v>21</v>
      </c>
      <c r="C4" s="42" t="s">
        <v>122</v>
      </c>
      <c r="D4" s="42" t="s">
        <v>123</v>
      </c>
      <c r="E4" s="52"/>
      <c r="F4" s="53"/>
      <c r="G4" s="46"/>
      <c r="H4" s="46"/>
      <c r="I4" s="46"/>
      <c r="J4" s="46"/>
      <c r="K4" s="46"/>
      <c r="L4" s="46"/>
      <c r="M4" s="46"/>
      <c r="N4" s="46"/>
      <c r="O4" s="46"/>
      <c r="P4" s="46"/>
      <c r="Q4" s="46"/>
      <c r="R4" s="46"/>
      <c r="S4" s="46"/>
      <c r="T4" s="46"/>
      <c r="U4" s="46"/>
      <c r="V4" s="46"/>
      <c r="W4" s="46"/>
      <c r="X4" s="46"/>
      <c r="Y4" s="46"/>
      <c r="Z4" s="46"/>
    </row>
    <row r="5" spans="1:26">
      <c r="A5" s="14">
        <v>4</v>
      </c>
      <c r="B5" s="14" t="s">
        <v>22</v>
      </c>
      <c r="C5" s="42" t="s">
        <v>124</v>
      </c>
      <c r="D5" s="42" t="s">
        <v>125</v>
      </c>
      <c r="E5" s="52"/>
      <c r="F5" s="174"/>
      <c r="G5" s="153"/>
      <c r="H5" s="153"/>
      <c r="I5" s="153"/>
      <c r="J5" s="46"/>
      <c r="K5" s="46"/>
      <c r="L5" s="46"/>
      <c r="M5" s="46"/>
      <c r="N5" s="46"/>
      <c r="O5" s="46"/>
      <c r="P5" s="46"/>
      <c r="Q5" s="46"/>
      <c r="R5" s="46"/>
      <c r="S5" s="46"/>
      <c r="T5" s="46"/>
      <c r="U5" s="46"/>
      <c r="V5" s="46"/>
      <c r="W5" s="46"/>
      <c r="X5" s="46"/>
      <c r="Y5" s="46"/>
      <c r="Z5" s="46"/>
    </row>
    <row r="6" spans="1:26">
      <c r="A6" s="14">
        <v>5</v>
      </c>
      <c r="B6" s="14" t="s">
        <v>23</v>
      </c>
      <c r="C6" s="42" t="s">
        <v>126</v>
      </c>
      <c r="D6" s="42" t="s">
        <v>127</v>
      </c>
      <c r="E6" s="52"/>
      <c r="F6" s="174"/>
      <c r="G6" s="153"/>
      <c r="H6" s="153"/>
      <c r="I6" s="153"/>
      <c r="J6" s="46"/>
      <c r="K6" s="46"/>
      <c r="L6" s="46"/>
      <c r="M6" s="46"/>
      <c r="N6" s="46"/>
      <c r="O6" s="46"/>
      <c r="P6" s="46"/>
      <c r="Q6" s="46"/>
      <c r="R6" s="46"/>
      <c r="S6" s="46"/>
      <c r="T6" s="46"/>
      <c r="U6" s="46"/>
      <c r="V6" s="46"/>
      <c r="W6" s="46"/>
      <c r="X6" s="46"/>
      <c r="Y6" s="46"/>
      <c r="Z6" s="46"/>
    </row>
    <row r="7" spans="1:26">
      <c r="A7" s="42">
        <v>6</v>
      </c>
      <c r="B7" s="42" t="s">
        <v>25</v>
      </c>
      <c r="C7" s="42" t="s">
        <v>129</v>
      </c>
      <c r="D7" s="42" t="s">
        <v>130</v>
      </c>
      <c r="E7" s="56"/>
      <c r="F7" s="53"/>
      <c r="G7" s="46"/>
      <c r="H7" s="46"/>
      <c r="I7" s="46"/>
      <c r="J7" s="46"/>
      <c r="K7" s="46"/>
      <c r="L7" s="46"/>
      <c r="M7" s="46"/>
      <c r="N7" s="46"/>
      <c r="O7" s="46"/>
      <c r="P7" s="46"/>
      <c r="Q7" s="46"/>
      <c r="R7" s="46"/>
      <c r="S7" s="46"/>
      <c r="T7" s="46"/>
      <c r="U7" s="46"/>
      <c r="V7" s="46"/>
      <c r="W7" s="46"/>
      <c r="X7" s="46"/>
      <c r="Y7" s="46"/>
      <c r="Z7" s="46"/>
    </row>
    <row r="8" spans="1:26">
      <c r="A8" s="42">
        <v>7</v>
      </c>
      <c r="B8" s="42" t="s">
        <v>27</v>
      </c>
      <c r="C8" s="42" t="s">
        <v>131</v>
      </c>
      <c r="D8" s="42" t="s">
        <v>132</v>
      </c>
      <c r="E8" s="57"/>
      <c r="F8" s="57"/>
      <c r="G8" s="57"/>
      <c r="H8" s="57"/>
      <c r="I8" s="57"/>
      <c r="J8" s="46"/>
      <c r="K8" s="46"/>
      <c r="L8" s="46"/>
      <c r="M8" s="46"/>
      <c r="N8" s="46"/>
      <c r="O8" s="46"/>
      <c r="P8" s="46"/>
      <c r="Q8" s="46"/>
      <c r="R8" s="46"/>
      <c r="S8" s="46"/>
      <c r="T8" s="46"/>
      <c r="U8" s="46"/>
      <c r="V8" s="46"/>
      <c r="W8" s="46"/>
      <c r="X8" s="46"/>
      <c r="Y8" s="46"/>
      <c r="Z8" s="46"/>
    </row>
    <row r="9" spans="1:26">
      <c r="A9" s="42">
        <v>8</v>
      </c>
      <c r="B9" s="42" t="s">
        <v>30</v>
      </c>
      <c r="C9" s="42" t="s">
        <v>134</v>
      </c>
      <c r="D9" s="42" t="s">
        <v>135</v>
      </c>
      <c r="E9" s="46"/>
      <c r="F9" s="46"/>
      <c r="G9" s="46"/>
      <c r="H9" s="46"/>
      <c r="I9" s="46"/>
      <c r="J9" s="46"/>
      <c r="K9" s="46"/>
      <c r="L9" s="46"/>
      <c r="M9" s="46"/>
      <c r="N9" s="46"/>
      <c r="O9" s="46"/>
      <c r="P9" s="46"/>
      <c r="Q9" s="46"/>
      <c r="R9" s="46"/>
      <c r="S9" s="46"/>
      <c r="T9" s="46"/>
      <c r="U9" s="46"/>
      <c r="V9" s="46"/>
      <c r="W9" s="46"/>
      <c r="X9" s="46"/>
      <c r="Y9" s="46"/>
      <c r="Z9" s="46"/>
    </row>
    <row r="10" spans="1:26">
      <c r="A10" s="42">
        <v>9</v>
      </c>
      <c r="B10" s="42" t="s">
        <v>32</v>
      </c>
      <c r="C10" s="42" t="s">
        <v>137</v>
      </c>
      <c r="D10" s="42" t="s">
        <v>138</v>
      </c>
      <c r="E10" s="46"/>
      <c r="F10" s="46"/>
      <c r="G10" s="46"/>
      <c r="H10" s="46"/>
      <c r="I10" s="46"/>
      <c r="J10" s="46"/>
      <c r="K10" s="46"/>
      <c r="L10" s="46"/>
      <c r="M10" s="46"/>
      <c r="N10" s="46"/>
      <c r="O10" s="46"/>
      <c r="P10" s="46"/>
      <c r="Q10" s="46"/>
      <c r="R10" s="46"/>
      <c r="S10" s="46"/>
      <c r="T10" s="46"/>
      <c r="U10" s="46"/>
      <c r="V10" s="46"/>
      <c r="W10" s="46"/>
      <c r="X10" s="46"/>
      <c r="Y10" s="46"/>
      <c r="Z10" s="46"/>
    </row>
    <row r="11" spans="1:26">
      <c r="A11" s="42">
        <v>10</v>
      </c>
      <c r="B11" s="42" t="s">
        <v>34</v>
      </c>
      <c r="C11" s="42" t="s">
        <v>139</v>
      </c>
      <c r="D11" s="42" t="s">
        <v>140</v>
      </c>
      <c r="E11" s="46"/>
      <c r="F11" s="46"/>
      <c r="G11" s="46"/>
      <c r="H11" s="46"/>
      <c r="I11" s="46"/>
      <c r="J11" s="46"/>
      <c r="K11" s="46"/>
      <c r="L11" s="46"/>
      <c r="M11" s="46"/>
      <c r="N11" s="46"/>
      <c r="O11" s="46"/>
      <c r="P11" s="46"/>
      <c r="Q11" s="46"/>
      <c r="R11" s="46"/>
      <c r="S11" s="46"/>
      <c r="T11" s="46"/>
      <c r="U11" s="46"/>
      <c r="V11" s="46"/>
      <c r="W11" s="46"/>
      <c r="X11" s="46"/>
      <c r="Y11" s="46"/>
      <c r="Z11" s="46"/>
    </row>
    <row r="12" spans="1:26">
      <c r="A12" s="42">
        <v>11</v>
      </c>
      <c r="B12" s="42" t="s">
        <v>36</v>
      </c>
      <c r="C12" s="42" t="s">
        <v>144</v>
      </c>
      <c r="D12" s="42" t="s">
        <v>145</v>
      </c>
      <c r="E12" s="46"/>
      <c r="F12" s="46"/>
      <c r="G12" s="46"/>
      <c r="H12" s="46"/>
      <c r="I12" s="46"/>
      <c r="J12" s="46"/>
      <c r="K12" s="46"/>
      <c r="L12" s="46"/>
      <c r="M12" s="46"/>
      <c r="N12" s="46"/>
      <c r="O12" s="46"/>
      <c r="P12" s="46"/>
      <c r="Q12" s="46"/>
      <c r="R12" s="46"/>
      <c r="S12" s="46"/>
      <c r="T12" s="46"/>
      <c r="U12" s="46"/>
      <c r="V12" s="46"/>
      <c r="W12" s="46"/>
      <c r="X12" s="46"/>
      <c r="Y12" s="46"/>
      <c r="Z12" s="46"/>
    </row>
    <row r="13" spans="1:26">
      <c r="A13" s="42">
        <v>12</v>
      </c>
      <c r="B13" s="42" t="s">
        <v>38</v>
      </c>
      <c r="C13" s="42" t="s">
        <v>146</v>
      </c>
      <c r="D13" s="42" t="s">
        <v>147</v>
      </c>
      <c r="E13" s="46"/>
      <c r="F13" s="46"/>
      <c r="G13" s="46"/>
      <c r="H13" s="46"/>
      <c r="I13" s="46"/>
      <c r="J13" s="46"/>
      <c r="K13" s="46"/>
      <c r="L13" s="46"/>
      <c r="M13" s="46"/>
      <c r="N13" s="46"/>
      <c r="O13" s="46"/>
      <c r="P13" s="46"/>
      <c r="Q13" s="46"/>
      <c r="R13" s="46"/>
      <c r="S13" s="46"/>
      <c r="T13" s="46"/>
      <c r="U13" s="46"/>
      <c r="V13" s="46"/>
      <c r="W13" s="46"/>
      <c r="X13" s="46"/>
      <c r="Y13" s="46"/>
      <c r="Z13" s="46"/>
    </row>
    <row r="14" spans="1:26">
      <c r="A14" s="42">
        <v>13</v>
      </c>
      <c r="B14" s="42" t="s">
        <v>41</v>
      </c>
      <c r="C14" s="42" t="s">
        <v>149</v>
      </c>
      <c r="D14" s="42" t="s">
        <v>150</v>
      </c>
      <c r="E14" s="46"/>
      <c r="F14" s="46"/>
      <c r="G14" s="46"/>
      <c r="H14" s="46"/>
      <c r="I14" s="46"/>
      <c r="J14" s="46"/>
      <c r="K14" s="46"/>
      <c r="L14" s="46"/>
      <c r="M14" s="46"/>
      <c r="N14" s="46"/>
      <c r="O14" s="46"/>
      <c r="P14" s="46"/>
      <c r="Q14" s="46"/>
      <c r="R14" s="46"/>
      <c r="S14" s="46"/>
      <c r="T14" s="46"/>
      <c r="U14" s="46"/>
      <c r="V14" s="46"/>
      <c r="W14" s="46"/>
      <c r="X14" s="46"/>
      <c r="Y14" s="46"/>
      <c r="Z14" s="46"/>
    </row>
    <row r="15" spans="1:26">
      <c r="A15" s="42">
        <v>14</v>
      </c>
      <c r="B15" s="42" t="s">
        <v>42</v>
      </c>
      <c r="C15" s="42" t="s">
        <v>152</v>
      </c>
      <c r="D15" s="42" t="s">
        <v>153</v>
      </c>
      <c r="E15" s="46"/>
      <c r="F15" s="46"/>
      <c r="G15" s="46"/>
      <c r="H15" s="46"/>
      <c r="I15" s="46"/>
      <c r="J15" s="46"/>
      <c r="K15" s="46"/>
      <c r="L15" s="46"/>
      <c r="M15" s="46"/>
      <c r="N15" s="46"/>
      <c r="O15" s="46"/>
      <c r="P15" s="46"/>
      <c r="Q15" s="46"/>
      <c r="R15" s="46"/>
      <c r="S15" s="46"/>
      <c r="T15" s="46"/>
      <c r="U15" s="46"/>
      <c r="V15" s="46"/>
      <c r="W15" s="46"/>
      <c r="X15" s="46"/>
      <c r="Y15" s="46"/>
      <c r="Z15" s="46"/>
    </row>
    <row r="16" spans="1:26">
      <c r="A16" s="42">
        <v>15</v>
      </c>
      <c r="B16" s="42" t="s">
        <v>51</v>
      </c>
      <c r="C16" s="42" t="s">
        <v>155</v>
      </c>
      <c r="D16" s="42" t="s">
        <v>156</v>
      </c>
      <c r="E16" s="46"/>
      <c r="F16" s="46"/>
      <c r="G16" s="46"/>
      <c r="H16" s="46"/>
      <c r="I16" s="46"/>
      <c r="J16" s="46"/>
      <c r="K16" s="46"/>
      <c r="L16" s="46"/>
      <c r="M16" s="46"/>
      <c r="N16" s="46"/>
      <c r="O16" s="46"/>
      <c r="P16" s="46"/>
      <c r="Q16" s="46"/>
      <c r="R16" s="46"/>
      <c r="S16" s="46"/>
      <c r="T16" s="46"/>
      <c r="U16" s="46"/>
      <c r="V16" s="46"/>
      <c r="W16" s="46"/>
      <c r="X16" s="46"/>
      <c r="Y16" s="46"/>
      <c r="Z16" s="46"/>
    </row>
    <row r="17" spans="1:26">
      <c r="A17" s="42">
        <v>16</v>
      </c>
      <c r="B17" s="42" t="s">
        <v>53</v>
      </c>
      <c r="C17" s="42" t="s">
        <v>157</v>
      </c>
      <c r="D17" s="42" t="s">
        <v>158</v>
      </c>
      <c r="E17" s="46"/>
      <c r="F17" s="46"/>
      <c r="G17" s="46"/>
      <c r="H17" s="46"/>
      <c r="I17" s="46"/>
      <c r="J17" s="46"/>
      <c r="K17" s="46"/>
      <c r="L17" s="46"/>
      <c r="M17" s="46"/>
      <c r="N17" s="46"/>
      <c r="O17" s="46"/>
      <c r="P17" s="46"/>
      <c r="Q17" s="46"/>
      <c r="R17" s="46"/>
      <c r="S17" s="46"/>
      <c r="T17" s="46"/>
      <c r="U17" s="46"/>
      <c r="V17" s="46"/>
      <c r="W17" s="46"/>
      <c r="X17" s="46"/>
      <c r="Y17" s="46"/>
      <c r="Z17" s="46"/>
    </row>
    <row r="18" spans="1:26">
      <c r="A18" s="42">
        <v>17</v>
      </c>
      <c r="B18" s="42" t="s">
        <v>54</v>
      </c>
      <c r="C18" s="42" t="s">
        <v>159</v>
      </c>
      <c r="D18" s="42" t="s">
        <v>160</v>
      </c>
      <c r="E18" s="46"/>
      <c r="F18" s="46"/>
      <c r="G18" s="46"/>
      <c r="H18" s="46"/>
      <c r="I18" s="46"/>
      <c r="J18" s="46"/>
      <c r="K18" s="46"/>
      <c r="L18" s="46"/>
      <c r="M18" s="46"/>
      <c r="N18" s="46"/>
      <c r="O18" s="46"/>
      <c r="P18" s="46"/>
      <c r="Q18" s="46"/>
      <c r="R18" s="46"/>
      <c r="S18" s="46"/>
      <c r="T18" s="46"/>
      <c r="U18" s="46"/>
      <c r="V18" s="46"/>
      <c r="W18" s="46"/>
      <c r="X18" s="46"/>
      <c r="Y18" s="46"/>
      <c r="Z18" s="46"/>
    </row>
    <row r="19" spans="1:26">
      <c r="A19" s="42">
        <v>18</v>
      </c>
      <c r="B19" s="42" t="s">
        <v>57</v>
      </c>
      <c r="C19" s="42" t="s">
        <v>161</v>
      </c>
      <c r="D19" s="42" t="s">
        <v>162</v>
      </c>
      <c r="E19" s="46"/>
      <c r="F19" s="46"/>
      <c r="G19" s="46"/>
      <c r="H19" s="46"/>
      <c r="I19" s="46"/>
      <c r="J19" s="46"/>
      <c r="K19" s="46"/>
      <c r="L19" s="46"/>
      <c r="M19" s="46"/>
      <c r="N19" s="46"/>
      <c r="O19" s="46"/>
      <c r="P19" s="46"/>
      <c r="Q19" s="46"/>
      <c r="R19" s="46"/>
      <c r="S19" s="46"/>
      <c r="T19" s="46"/>
      <c r="U19" s="46"/>
      <c r="V19" s="46"/>
      <c r="W19" s="46"/>
      <c r="X19" s="46"/>
      <c r="Y19" s="46"/>
      <c r="Z19" s="46"/>
    </row>
    <row r="20" spans="1:26">
      <c r="A20" s="42">
        <v>19</v>
      </c>
      <c r="B20" s="42" t="s">
        <v>59</v>
      </c>
      <c r="C20" s="42" t="s">
        <v>164</v>
      </c>
      <c r="D20" s="42" t="s">
        <v>165</v>
      </c>
      <c r="E20" s="46"/>
      <c r="F20" s="46"/>
      <c r="G20" s="46"/>
      <c r="H20" s="46"/>
      <c r="I20" s="46"/>
      <c r="J20" s="46"/>
      <c r="K20" s="46"/>
      <c r="L20" s="46"/>
      <c r="M20" s="46"/>
      <c r="N20" s="46"/>
      <c r="O20" s="46"/>
      <c r="P20" s="46"/>
      <c r="Q20" s="46"/>
      <c r="R20" s="46"/>
      <c r="S20" s="46"/>
      <c r="T20" s="46"/>
      <c r="U20" s="46"/>
      <c r="V20" s="46"/>
      <c r="W20" s="46"/>
      <c r="X20" s="46"/>
      <c r="Y20" s="46"/>
      <c r="Z20" s="46"/>
    </row>
    <row r="21" spans="1:26">
      <c r="A21" s="42">
        <v>20</v>
      </c>
      <c r="B21" s="42" t="s">
        <v>67</v>
      </c>
      <c r="C21" s="42" t="s">
        <v>167</v>
      </c>
      <c r="D21" s="42" t="s">
        <v>168</v>
      </c>
      <c r="E21" s="46"/>
      <c r="F21" s="46"/>
      <c r="G21" s="46"/>
      <c r="H21" s="46"/>
      <c r="I21" s="46"/>
      <c r="J21" s="46"/>
      <c r="K21" s="46"/>
      <c r="L21" s="46"/>
      <c r="M21" s="46"/>
      <c r="N21" s="46"/>
      <c r="O21" s="46"/>
      <c r="P21" s="46"/>
      <c r="Q21" s="46"/>
      <c r="R21" s="46"/>
      <c r="S21" s="46"/>
      <c r="T21" s="46"/>
      <c r="U21" s="46"/>
      <c r="V21" s="46"/>
      <c r="W21" s="46"/>
      <c r="X21" s="46"/>
      <c r="Y21" s="46"/>
      <c r="Z21" s="46"/>
    </row>
    <row r="22" spans="1:26">
      <c r="A22" s="42">
        <v>21</v>
      </c>
      <c r="B22" s="42" t="s">
        <v>77</v>
      </c>
      <c r="C22" s="42" t="s">
        <v>169</v>
      </c>
      <c r="D22" s="42" t="s">
        <v>170</v>
      </c>
      <c r="E22" s="46"/>
      <c r="F22" s="46"/>
      <c r="G22" s="46"/>
      <c r="H22" s="46"/>
      <c r="I22" s="46"/>
      <c r="J22" s="46"/>
      <c r="K22" s="46"/>
      <c r="L22" s="46"/>
      <c r="M22" s="46"/>
      <c r="N22" s="46"/>
      <c r="O22" s="46"/>
      <c r="P22" s="46"/>
      <c r="Q22" s="46"/>
      <c r="R22" s="46"/>
      <c r="S22" s="46"/>
      <c r="T22" s="46"/>
      <c r="U22" s="46"/>
      <c r="V22" s="46"/>
      <c r="W22" s="46"/>
      <c r="X22" s="46"/>
      <c r="Y22" s="46"/>
      <c r="Z22" s="46"/>
    </row>
    <row r="23" spans="1:26">
      <c r="A23" s="42">
        <v>22</v>
      </c>
      <c r="B23" s="42" t="s">
        <v>79</v>
      </c>
      <c r="C23" s="42" t="s">
        <v>171</v>
      </c>
      <c r="D23" s="42" t="s">
        <v>172</v>
      </c>
      <c r="E23" s="46"/>
      <c r="F23" s="46"/>
      <c r="G23" s="46"/>
      <c r="H23" s="46"/>
      <c r="I23" s="46"/>
      <c r="J23" s="46"/>
      <c r="K23" s="46"/>
      <c r="L23" s="46"/>
      <c r="M23" s="46"/>
      <c r="N23" s="46"/>
      <c r="O23" s="46"/>
      <c r="P23" s="46"/>
      <c r="Q23" s="46"/>
      <c r="R23" s="46"/>
      <c r="S23" s="46"/>
      <c r="T23" s="46"/>
      <c r="U23" s="46"/>
      <c r="V23" s="46"/>
      <c r="W23" s="46"/>
      <c r="X23" s="46"/>
      <c r="Y23" s="46"/>
      <c r="Z23" s="46"/>
    </row>
    <row r="24" spans="1:26">
      <c r="A24" s="42">
        <v>23</v>
      </c>
      <c r="B24" s="42" t="s">
        <v>81</v>
      </c>
      <c r="C24" s="42" t="s">
        <v>173</v>
      </c>
      <c r="D24" s="42" t="s">
        <v>175</v>
      </c>
      <c r="E24" s="46"/>
      <c r="F24" s="46"/>
      <c r="G24" s="46"/>
      <c r="H24" s="46"/>
      <c r="I24" s="46"/>
      <c r="J24" s="46"/>
      <c r="K24" s="46"/>
      <c r="L24" s="46"/>
      <c r="M24" s="46"/>
      <c r="N24" s="46"/>
      <c r="O24" s="46"/>
      <c r="P24" s="46"/>
      <c r="Q24" s="46"/>
      <c r="R24" s="46"/>
      <c r="S24" s="46"/>
      <c r="T24" s="46"/>
      <c r="U24" s="46"/>
      <c r="V24" s="46"/>
      <c r="W24" s="46"/>
      <c r="X24" s="46"/>
      <c r="Y24" s="46"/>
      <c r="Z24" s="46"/>
    </row>
    <row r="25" spans="1:26">
      <c r="A25" s="42">
        <v>24</v>
      </c>
      <c r="B25" s="42" t="s">
        <v>82</v>
      </c>
      <c r="C25" s="42" t="s">
        <v>176</v>
      </c>
      <c r="D25" s="42" t="s">
        <v>177</v>
      </c>
      <c r="E25" s="46"/>
      <c r="F25" s="46"/>
      <c r="G25" s="46"/>
      <c r="H25" s="46"/>
      <c r="I25" s="46"/>
      <c r="J25" s="46"/>
      <c r="K25" s="46"/>
      <c r="L25" s="46"/>
      <c r="M25" s="46"/>
      <c r="N25" s="46"/>
      <c r="O25" s="46"/>
      <c r="P25" s="46"/>
      <c r="Q25" s="46"/>
      <c r="R25" s="46"/>
      <c r="S25" s="46"/>
      <c r="T25" s="46"/>
      <c r="U25" s="46"/>
      <c r="V25" s="46"/>
      <c r="W25" s="46"/>
      <c r="X25" s="46"/>
      <c r="Y25" s="46"/>
      <c r="Z25" s="46"/>
    </row>
    <row r="26" spans="1:26">
      <c r="A26" s="42">
        <v>25</v>
      </c>
      <c r="B26" s="42" t="s">
        <v>83</v>
      </c>
      <c r="C26" s="42" t="s">
        <v>180</v>
      </c>
      <c r="D26" s="42" t="s">
        <v>181</v>
      </c>
      <c r="E26" s="46"/>
      <c r="F26" s="46"/>
      <c r="G26" s="46"/>
      <c r="H26" s="46"/>
      <c r="I26" s="46"/>
      <c r="J26" s="46"/>
      <c r="K26" s="46"/>
      <c r="L26" s="46"/>
      <c r="M26" s="46"/>
      <c r="N26" s="46"/>
      <c r="O26" s="46"/>
      <c r="P26" s="46"/>
      <c r="Q26" s="46"/>
      <c r="R26" s="46"/>
      <c r="S26" s="46"/>
      <c r="T26" s="46"/>
      <c r="U26" s="46"/>
      <c r="V26" s="46"/>
      <c r="W26" s="46"/>
      <c r="X26" s="46"/>
      <c r="Y26" s="46"/>
      <c r="Z26" s="46"/>
    </row>
    <row r="27" spans="1:26">
      <c r="A27" s="42">
        <v>26</v>
      </c>
      <c r="B27" s="42" t="s">
        <v>84</v>
      </c>
      <c r="C27" s="42" t="s">
        <v>182</v>
      </c>
      <c r="D27" s="42" t="s">
        <v>183</v>
      </c>
      <c r="E27" s="46"/>
      <c r="F27" s="46"/>
      <c r="G27" s="46"/>
      <c r="H27" s="46"/>
      <c r="I27" s="46"/>
      <c r="J27" s="46"/>
      <c r="K27" s="46"/>
      <c r="L27" s="46"/>
      <c r="M27" s="46"/>
      <c r="N27" s="46"/>
      <c r="O27" s="46"/>
      <c r="P27" s="46"/>
      <c r="Q27" s="46"/>
      <c r="R27" s="46"/>
      <c r="S27" s="46"/>
      <c r="T27" s="46"/>
      <c r="U27" s="46"/>
      <c r="V27" s="46"/>
      <c r="W27" s="46"/>
      <c r="X27" s="46"/>
      <c r="Y27" s="46"/>
      <c r="Z27" s="46"/>
    </row>
    <row r="28" spans="1:26">
      <c r="A28" s="42">
        <v>27</v>
      </c>
      <c r="B28" s="42" t="s">
        <v>87</v>
      </c>
      <c r="C28" s="42" t="s">
        <v>185</v>
      </c>
      <c r="D28" s="42" t="s">
        <v>186</v>
      </c>
      <c r="E28" s="46"/>
      <c r="F28" s="46"/>
      <c r="G28" s="46"/>
      <c r="H28" s="46"/>
      <c r="I28" s="46"/>
      <c r="J28" s="46"/>
      <c r="K28" s="46"/>
      <c r="L28" s="46"/>
      <c r="M28" s="46"/>
      <c r="N28" s="46"/>
      <c r="O28" s="46"/>
      <c r="P28" s="46"/>
      <c r="Q28" s="46"/>
      <c r="R28" s="46"/>
      <c r="S28" s="46"/>
      <c r="T28" s="46"/>
      <c r="U28" s="46"/>
      <c r="V28" s="46"/>
      <c r="W28" s="46"/>
      <c r="X28" s="46"/>
      <c r="Y28" s="46"/>
      <c r="Z28" s="46"/>
    </row>
    <row r="29" spans="1:26" ht="15.7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5.7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5.7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5.7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5.7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5.7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5.7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5.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5.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5.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5.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5.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5.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5.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5.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5.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5.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5.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5.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5.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5.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5.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5.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5.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5.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5.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5.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5.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5.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5.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5.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5.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5.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5.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5.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5.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5.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5.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5.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5.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5.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5.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5.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5.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5.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5.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5.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5.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5.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5.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5.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5.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5.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5.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5.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5.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5.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5.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5.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5.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5.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5.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5.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5.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5.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5.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5.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5.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5.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5.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5.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5.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5.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5.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5.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5.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5.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5.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5.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5.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5.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5.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5.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5.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5.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5.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5.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5.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5.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5.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5.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5.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5.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5.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5.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5.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5.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5.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5.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5.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5.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5.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5.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5.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5.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5.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5.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5.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5.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5.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5.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5.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5.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5.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5.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5.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5.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5.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5.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5.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5.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5.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5.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5.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5.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5.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5.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5.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5.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5.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5.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5.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5.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5.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5.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5.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5.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5.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5.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5.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5.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5.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5.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5.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5.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5.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5.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5.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5.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5.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5.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5.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5.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5.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5.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5.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5.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5.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5.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5.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5.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5.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5.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5.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5.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5.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5.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5.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5.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5.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5.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5.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5.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5.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5.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5.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5.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5.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5.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5.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5.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5.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5.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5.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5.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5.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5.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5.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5.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5.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5.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5.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sheetData>
  <mergeCells count="3">
    <mergeCell ref="F2:I2"/>
    <mergeCell ref="F5:I5"/>
    <mergeCell ref="F6:I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27"/>
  <sheetViews>
    <sheetView workbookViewId="0"/>
  </sheetViews>
  <sheetFormatPr defaultColWidth="12.6328125" defaultRowHeight="15.75" customHeight="1"/>
  <cols>
    <col min="2" max="2" width="10.36328125" customWidth="1"/>
    <col min="3" max="3" width="8.26953125" customWidth="1"/>
    <col min="4" max="4" width="9.36328125" customWidth="1"/>
    <col min="5" max="5" width="9" customWidth="1"/>
    <col min="6" max="6" width="8.90625" customWidth="1"/>
    <col min="7" max="7" width="8.26953125" customWidth="1"/>
    <col min="8" max="8" width="7.453125" customWidth="1"/>
    <col min="9" max="9" width="9.08984375" customWidth="1"/>
    <col min="10" max="12" width="8.36328125" customWidth="1"/>
    <col min="13" max="13" width="7.36328125" customWidth="1"/>
    <col min="14" max="14" width="21" customWidth="1"/>
  </cols>
  <sheetData>
    <row r="1" spans="1:14">
      <c r="A1" s="58" t="s">
        <v>151</v>
      </c>
      <c r="B1" s="59"/>
      <c r="C1" s="59"/>
      <c r="D1" s="59"/>
      <c r="E1" s="59"/>
      <c r="F1" s="59"/>
      <c r="G1" s="59"/>
      <c r="H1" s="59"/>
      <c r="I1" s="59"/>
      <c r="J1" s="59"/>
      <c r="K1" s="59"/>
      <c r="L1" s="59"/>
      <c r="M1" s="59"/>
      <c r="N1" s="61"/>
    </row>
    <row r="2" spans="1:14">
      <c r="A2" s="177" t="s">
        <v>11</v>
      </c>
      <c r="B2" s="178" t="s">
        <v>15</v>
      </c>
      <c r="C2" s="149"/>
      <c r="D2" s="149"/>
      <c r="E2" s="149"/>
      <c r="F2" s="149"/>
      <c r="G2" s="149"/>
      <c r="H2" s="149"/>
      <c r="I2" s="149"/>
      <c r="J2" s="149"/>
      <c r="K2" s="149"/>
      <c r="L2" s="149"/>
      <c r="M2" s="150"/>
      <c r="N2" s="61"/>
    </row>
    <row r="3" spans="1:14">
      <c r="A3" s="147"/>
      <c r="B3" s="63" t="s">
        <v>56</v>
      </c>
      <c r="C3" s="63" t="s">
        <v>61</v>
      </c>
      <c r="D3" s="63" t="s">
        <v>62</v>
      </c>
      <c r="E3" s="63" t="s">
        <v>65</v>
      </c>
      <c r="F3" s="63" t="s">
        <v>68</v>
      </c>
      <c r="G3" s="63" t="s">
        <v>70</v>
      </c>
      <c r="H3" s="63" t="s">
        <v>71</v>
      </c>
      <c r="I3" s="63" t="s">
        <v>72</v>
      </c>
      <c r="J3" s="63" t="s">
        <v>73</v>
      </c>
      <c r="K3" s="63" t="s">
        <v>74</v>
      </c>
      <c r="L3" s="63" t="s">
        <v>75</v>
      </c>
      <c r="M3" s="63" t="s">
        <v>76</v>
      </c>
      <c r="N3" s="66"/>
    </row>
    <row r="4" spans="1:14">
      <c r="A4" s="51" t="s">
        <v>178</v>
      </c>
      <c r="B4" s="67">
        <f>'Doanh thu'!C84</f>
        <v>399155</v>
      </c>
      <c r="C4" s="67">
        <f>'Doanh thu'!D84</f>
        <v>426070</v>
      </c>
      <c r="D4" s="67">
        <f>'Doanh thu'!E84</f>
        <v>422344</v>
      </c>
      <c r="E4" s="67">
        <f>'Doanh thu'!F84</f>
        <v>486874</v>
      </c>
      <c r="F4" s="67">
        <f>'Doanh thu'!G84</f>
        <v>500760</v>
      </c>
      <c r="G4" s="67">
        <f>'Doanh thu'!H84</f>
        <v>511145</v>
      </c>
      <c r="H4" s="67">
        <f>'Doanh thu'!I84</f>
        <v>563612</v>
      </c>
      <c r="I4" s="67">
        <f>'Doanh thu'!J84</f>
        <v>590758</v>
      </c>
      <c r="J4" s="67">
        <f>'Doanh thu'!K84</f>
        <v>551271</v>
      </c>
      <c r="K4" s="67">
        <f>'Doanh thu'!L84</f>
        <v>537803</v>
      </c>
      <c r="L4" s="67">
        <f>'Doanh thu'!M84</f>
        <v>530415</v>
      </c>
      <c r="M4" s="67">
        <f>'Doanh thu'!N84</f>
        <v>501977</v>
      </c>
      <c r="N4" s="70">
        <f t="shared" ref="N4:N6" si="0">SUM(B4:M4)</f>
        <v>6022184</v>
      </c>
    </row>
    <row r="5" spans="1:14">
      <c r="A5" s="51" t="s">
        <v>11</v>
      </c>
      <c r="B5" s="72">
        <f>'Ước tính chi phí'!B21</f>
        <v>320492</v>
      </c>
      <c r="C5" s="72">
        <f>'Ước tính chi phí'!C21</f>
        <v>305343</v>
      </c>
      <c r="D5" s="72">
        <f>'Ước tính chi phí'!D21</f>
        <v>304501</v>
      </c>
      <c r="E5" s="72">
        <f>'Ước tính chi phí'!E21</f>
        <v>304816</v>
      </c>
      <c r="F5" s="72">
        <f>'Ước tính chi phí'!F21</f>
        <v>306112</v>
      </c>
      <c r="G5" s="72">
        <f>'Ước tính chi phí'!G21</f>
        <v>306199</v>
      </c>
      <c r="H5" s="72">
        <f>'Ước tính chi phí'!H21</f>
        <v>305732</v>
      </c>
      <c r="I5" s="72">
        <f>'Ước tính chi phí'!I21</f>
        <v>305843</v>
      </c>
      <c r="J5" s="72">
        <f>'Ước tính chi phí'!J21</f>
        <v>306246</v>
      </c>
      <c r="K5" s="72">
        <f>'Ước tính chi phí'!K21</f>
        <v>306501</v>
      </c>
      <c r="L5" s="72">
        <f>'Ước tính chi phí'!L21</f>
        <v>306526</v>
      </c>
      <c r="M5" s="72">
        <f>'Ước tính chi phí'!M21</f>
        <v>306491</v>
      </c>
      <c r="N5" s="70">
        <f t="shared" si="0"/>
        <v>3684802</v>
      </c>
    </row>
    <row r="6" spans="1:14">
      <c r="A6" s="51" t="s">
        <v>192</v>
      </c>
      <c r="B6" s="72">
        <f t="shared" ref="B6:M6" si="1">B4-B5</f>
        <v>78663</v>
      </c>
      <c r="C6" s="72">
        <f t="shared" si="1"/>
        <v>120727</v>
      </c>
      <c r="D6" s="72">
        <f t="shared" si="1"/>
        <v>117843</v>
      </c>
      <c r="E6" s="72">
        <f t="shared" si="1"/>
        <v>182058</v>
      </c>
      <c r="F6" s="72">
        <f t="shared" si="1"/>
        <v>194648</v>
      </c>
      <c r="G6" s="72">
        <f t="shared" si="1"/>
        <v>204946</v>
      </c>
      <c r="H6" s="72">
        <f t="shared" si="1"/>
        <v>257880</v>
      </c>
      <c r="I6" s="72">
        <f t="shared" si="1"/>
        <v>284915</v>
      </c>
      <c r="J6" s="72">
        <f t="shared" si="1"/>
        <v>245025</v>
      </c>
      <c r="K6" s="72">
        <f t="shared" si="1"/>
        <v>231302</v>
      </c>
      <c r="L6" s="72">
        <f t="shared" si="1"/>
        <v>223889</v>
      </c>
      <c r="M6" s="72">
        <f t="shared" si="1"/>
        <v>195486</v>
      </c>
      <c r="N6" s="70">
        <f t="shared" si="0"/>
        <v>2337382</v>
      </c>
    </row>
    <row r="7" spans="1:14">
      <c r="A7" s="51" t="s">
        <v>194</v>
      </c>
      <c r="B7" s="179">
        <f>SUM(C6:M6)</f>
        <v>2258719</v>
      </c>
      <c r="C7" s="149"/>
      <c r="D7" s="149"/>
      <c r="E7" s="149"/>
      <c r="F7" s="149"/>
      <c r="G7" s="149"/>
      <c r="H7" s="149"/>
      <c r="I7" s="149"/>
      <c r="J7" s="149"/>
      <c r="K7" s="149"/>
      <c r="L7" s="149"/>
      <c r="M7" s="150"/>
      <c r="N7" s="66"/>
    </row>
    <row r="8" spans="1:14">
      <c r="A8" s="51" t="s">
        <v>196</v>
      </c>
      <c r="B8" s="180">
        <f>SUM(B6:M6)/SUM(B4:M4)*100</f>
        <v>38.812862576101956</v>
      </c>
      <c r="C8" s="149"/>
      <c r="D8" s="149"/>
      <c r="E8" s="149"/>
      <c r="F8" s="149"/>
      <c r="G8" s="149"/>
      <c r="H8" s="149"/>
      <c r="I8" s="149"/>
      <c r="J8" s="149"/>
      <c r="K8" s="149"/>
      <c r="L8" s="149"/>
      <c r="M8" s="150"/>
      <c r="N8" s="70"/>
    </row>
    <row r="9" spans="1:14">
      <c r="A9" s="51" t="s">
        <v>197</v>
      </c>
      <c r="B9" s="180">
        <f>SUM(B6:M6)/SUM(B5:M5)*100</f>
        <v>63.433041992486984</v>
      </c>
      <c r="C9" s="149"/>
      <c r="D9" s="149"/>
      <c r="E9" s="149"/>
      <c r="F9" s="149"/>
      <c r="G9" s="149"/>
      <c r="H9" s="149"/>
      <c r="I9" s="149"/>
      <c r="J9" s="149"/>
      <c r="K9" s="149"/>
      <c r="L9" s="149"/>
      <c r="M9" s="150"/>
      <c r="N9" s="66"/>
    </row>
    <row r="10" spans="1:14">
      <c r="A10" s="66"/>
      <c r="B10" s="66"/>
      <c r="C10" s="70"/>
      <c r="D10" s="70"/>
      <c r="E10" s="70"/>
      <c r="F10" s="70"/>
      <c r="G10" s="70"/>
      <c r="H10" s="70"/>
      <c r="I10" s="70"/>
      <c r="J10" s="70"/>
      <c r="K10" s="70"/>
      <c r="L10" s="70"/>
      <c r="M10" s="70"/>
      <c r="N10" s="70"/>
    </row>
    <row r="11" spans="1:14">
      <c r="A11" s="66"/>
      <c r="B11" s="66"/>
      <c r="C11" s="70"/>
      <c r="D11" s="70"/>
      <c r="E11" s="70"/>
      <c r="F11" s="70"/>
      <c r="G11" s="70"/>
      <c r="H11" s="70"/>
      <c r="I11" s="70"/>
      <c r="J11" s="70"/>
      <c r="K11" s="70"/>
      <c r="L11" s="70"/>
      <c r="M11" s="70"/>
      <c r="N11" s="70"/>
    </row>
    <row r="12" spans="1:14">
      <c r="A12" s="175"/>
      <c r="B12" s="66"/>
      <c r="C12" s="66"/>
      <c r="D12" s="66"/>
      <c r="E12" s="66"/>
      <c r="F12" s="66"/>
      <c r="G12" s="66"/>
      <c r="H12" s="66"/>
      <c r="I12" s="66"/>
      <c r="J12" s="66"/>
      <c r="K12" s="66"/>
      <c r="L12" s="66"/>
      <c r="M12" s="66"/>
      <c r="N12" s="66"/>
    </row>
    <row r="13" spans="1:14">
      <c r="A13" s="153"/>
      <c r="B13" s="66"/>
      <c r="C13" s="70"/>
      <c r="D13" s="70"/>
      <c r="E13" s="70"/>
      <c r="F13" s="70"/>
      <c r="G13" s="70"/>
      <c r="H13" s="70"/>
      <c r="I13" s="70"/>
      <c r="J13" s="70"/>
      <c r="K13" s="70"/>
      <c r="L13" s="70"/>
      <c r="M13" s="70"/>
      <c r="N13" s="70"/>
    </row>
    <row r="14" spans="1:14">
      <c r="A14" s="153"/>
      <c r="B14" s="66"/>
      <c r="C14" s="70"/>
      <c r="D14" s="70"/>
      <c r="E14" s="70"/>
      <c r="F14" s="70"/>
      <c r="G14" s="70"/>
      <c r="H14" s="70"/>
      <c r="I14" s="70"/>
      <c r="J14" s="70"/>
      <c r="K14" s="70"/>
      <c r="L14" s="70"/>
      <c r="M14" s="70"/>
      <c r="N14" s="70"/>
    </row>
    <row r="15" spans="1:14">
      <c r="A15" s="175"/>
      <c r="B15" s="66"/>
      <c r="C15" s="66"/>
      <c r="D15" s="66"/>
      <c r="E15" s="66"/>
      <c r="F15" s="66"/>
      <c r="G15" s="66"/>
      <c r="H15" s="66"/>
      <c r="I15" s="66"/>
      <c r="J15" s="66"/>
      <c r="K15" s="66"/>
      <c r="L15" s="66"/>
      <c r="M15" s="66"/>
      <c r="N15" s="66"/>
    </row>
    <row r="16" spans="1:14">
      <c r="A16" s="153"/>
      <c r="B16" s="66"/>
      <c r="C16" s="70"/>
      <c r="D16" s="70"/>
      <c r="E16" s="70"/>
      <c r="F16" s="70"/>
      <c r="G16" s="70"/>
      <c r="H16" s="70"/>
      <c r="I16" s="70"/>
      <c r="J16" s="70"/>
      <c r="K16" s="70"/>
      <c r="L16" s="70"/>
      <c r="M16" s="70"/>
      <c r="N16" s="70"/>
    </row>
    <row r="17" spans="1:14">
      <c r="A17" s="153"/>
      <c r="B17" s="66"/>
      <c r="C17" s="79"/>
      <c r="D17" s="79"/>
      <c r="E17" s="79"/>
      <c r="F17" s="79"/>
      <c r="G17" s="79"/>
      <c r="H17" s="79"/>
      <c r="I17" s="79"/>
      <c r="J17" s="79"/>
      <c r="K17" s="79"/>
      <c r="L17" s="79"/>
      <c r="M17" s="79"/>
      <c r="N17" s="79"/>
    </row>
    <row r="18" spans="1:14">
      <c r="A18" s="175"/>
      <c r="B18" s="66"/>
      <c r="C18" s="66"/>
      <c r="D18" s="66"/>
      <c r="E18" s="66"/>
      <c r="F18" s="66"/>
      <c r="G18" s="66"/>
      <c r="H18" s="66"/>
      <c r="I18" s="66"/>
      <c r="J18" s="66"/>
      <c r="K18" s="66"/>
      <c r="L18" s="66"/>
      <c r="M18" s="66"/>
      <c r="N18" s="66"/>
    </row>
    <row r="19" spans="1:14">
      <c r="A19" s="153"/>
      <c r="B19" s="66"/>
      <c r="C19" s="70"/>
      <c r="D19" s="70"/>
      <c r="E19" s="70"/>
      <c r="F19" s="70"/>
      <c r="G19" s="70"/>
      <c r="H19" s="70"/>
      <c r="I19" s="70"/>
      <c r="J19" s="70"/>
      <c r="K19" s="70"/>
      <c r="L19" s="70"/>
      <c r="M19" s="70"/>
      <c r="N19" s="70"/>
    </row>
    <row r="20" spans="1:14">
      <c r="A20" s="153"/>
      <c r="B20" s="66"/>
      <c r="C20" s="70"/>
      <c r="D20" s="70"/>
      <c r="E20" s="70"/>
      <c r="F20" s="70"/>
      <c r="G20" s="70"/>
      <c r="H20" s="70"/>
      <c r="I20" s="70"/>
      <c r="J20" s="70"/>
      <c r="K20" s="70"/>
      <c r="L20" s="70"/>
      <c r="M20" s="70"/>
      <c r="N20" s="70"/>
    </row>
    <row r="21" spans="1:14">
      <c r="A21" s="175"/>
      <c r="B21" s="153"/>
      <c r="C21" s="79"/>
      <c r="D21" s="79"/>
      <c r="E21" s="79"/>
      <c r="F21" s="79"/>
      <c r="G21" s="79"/>
      <c r="H21" s="79"/>
      <c r="I21" s="79"/>
      <c r="J21" s="79"/>
      <c r="K21" s="79"/>
      <c r="L21" s="79"/>
      <c r="M21" s="79"/>
      <c r="N21" s="79"/>
    </row>
    <row r="22" spans="1:14">
      <c r="A22" s="175"/>
      <c r="B22" s="153"/>
      <c r="C22" s="153"/>
      <c r="D22" s="153"/>
      <c r="E22" s="153"/>
      <c r="F22" s="153"/>
      <c r="G22" s="153"/>
      <c r="H22" s="153"/>
      <c r="I22" s="153"/>
      <c r="J22" s="153"/>
      <c r="K22" s="153"/>
      <c r="L22" s="153"/>
      <c r="M22" s="153"/>
      <c r="N22" s="153"/>
    </row>
    <row r="23" spans="1:14">
      <c r="A23" s="175"/>
      <c r="B23" s="66"/>
      <c r="C23" s="66"/>
      <c r="D23" s="66"/>
      <c r="E23" s="66"/>
      <c r="F23" s="66"/>
      <c r="G23" s="66"/>
      <c r="H23" s="66"/>
      <c r="I23" s="66"/>
      <c r="J23" s="66"/>
      <c r="K23" s="66"/>
      <c r="L23" s="66"/>
      <c r="M23" s="66"/>
      <c r="N23" s="66"/>
    </row>
    <row r="24" spans="1:14">
      <c r="A24" s="153"/>
      <c r="B24" s="66"/>
      <c r="C24" s="70"/>
      <c r="D24" s="70"/>
      <c r="E24" s="70"/>
      <c r="F24" s="70"/>
      <c r="G24" s="70"/>
      <c r="H24" s="70"/>
      <c r="I24" s="70"/>
      <c r="J24" s="70"/>
      <c r="K24" s="70"/>
      <c r="L24" s="70"/>
      <c r="M24" s="70"/>
      <c r="N24" s="70"/>
    </row>
    <row r="25" spans="1:14">
      <c r="A25" s="153"/>
      <c r="B25" s="66"/>
      <c r="C25" s="70"/>
      <c r="D25" s="70"/>
      <c r="E25" s="70"/>
      <c r="F25" s="70"/>
      <c r="G25" s="70"/>
      <c r="H25" s="70"/>
      <c r="I25" s="70"/>
      <c r="J25" s="70"/>
      <c r="K25" s="70"/>
      <c r="L25" s="70"/>
      <c r="M25" s="70"/>
      <c r="N25" s="70"/>
    </row>
    <row r="26" spans="1:14">
      <c r="A26" s="176"/>
      <c r="B26" s="153"/>
      <c r="C26" s="70"/>
      <c r="D26" s="70"/>
      <c r="E26" s="70"/>
      <c r="F26" s="70"/>
      <c r="G26" s="70"/>
      <c r="H26" s="70"/>
      <c r="I26" s="70"/>
      <c r="J26" s="70"/>
      <c r="K26" s="70"/>
      <c r="L26" s="70"/>
      <c r="M26" s="70"/>
      <c r="N26" s="70"/>
    </row>
    <row r="27" spans="1:14">
      <c r="A27" s="175"/>
      <c r="B27" s="153"/>
      <c r="C27" s="153"/>
      <c r="D27" s="153"/>
      <c r="E27" s="153"/>
      <c r="F27" s="153"/>
      <c r="G27" s="153"/>
      <c r="H27" s="153"/>
      <c r="I27" s="153"/>
      <c r="J27" s="153"/>
      <c r="K27" s="153"/>
      <c r="L27" s="153"/>
      <c r="M27" s="153"/>
      <c r="N27" s="153"/>
    </row>
  </sheetData>
  <mergeCells count="13">
    <mergeCell ref="A27:N27"/>
    <mergeCell ref="A2:A3"/>
    <mergeCell ref="B2:M2"/>
    <mergeCell ref="B7:M7"/>
    <mergeCell ref="B8:M8"/>
    <mergeCell ref="B9:M9"/>
    <mergeCell ref="A12:A14"/>
    <mergeCell ref="A15:A17"/>
    <mergeCell ref="A18:A20"/>
    <mergeCell ref="A21:B21"/>
    <mergeCell ref="A22:N22"/>
    <mergeCell ref="A23:A25"/>
    <mergeCell ref="A26:B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7"/>
  <sheetViews>
    <sheetView workbookViewId="0"/>
  </sheetViews>
  <sheetFormatPr defaultColWidth="12.6328125" defaultRowHeight="15.75" customHeight="1"/>
  <cols>
    <col min="2" max="2" width="27.36328125" customWidth="1"/>
    <col min="3" max="3" width="19.08984375" customWidth="1"/>
    <col min="4" max="4" width="42" customWidth="1"/>
    <col min="7" max="7" width="22" customWidth="1"/>
    <col min="8" max="8" width="24.6328125" customWidth="1"/>
    <col min="9" max="9" width="22" customWidth="1"/>
    <col min="10" max="10" width="24.08984375" customWidth="1"/>
  </cols>
  <sheetData>
    <row r="1" spans="1:11">
      <c r="A1" s="91"/>
      <c r="B1" s="91"/>
      <c r="C1" s="91"/>
      <c r="D1" s="91"/>
      <c r="E1" s="91"/>
      <c r="F1" s="91"/>
      <c r="G1" s="91"/>
      <c r="H1" s="91"/>
      <c r="I1" s="91"/>
      <c r="J1" s="91"/>
      <c r="K1" s="91"/>
    </row>
    <row r="2" spans="1:11">
      <c r="A2" s="91"/>
      <c r="B2" s="93" t="s">
        <v>224</v>
      </c>
      <c r="C2" s="91"/>
      <c r="D2" s="91"/>
      <c r="E2" s="91"/>
      <c r="F2" s="91"/>
      <c r="G2" s="4" t="s">
        <v>226</v>
      </c>
      <c r="H2" s="94" t="s">
        <v>227</v>
      </c>
      <c r="I2" s="96" t="s">
        <v>229</v>
      </c>
      <c r="J2" s="96" t="s">
        <v>230</v>
      </c>
      <c r="K2" s="91"/>
    </row>
    <row r="3" spans="1:11">
      <c r="A3" s="91"/>
      <c r="B3" s="98" t="s">
        <v>88</v>
      </c>
      <c r="C3" s="99" t="s">
        <v>232</v>
      </c>
      <c r="D3" s="100" t="s">
        <v>230</v>
      </c>
      <c r="E3" s="91"/>
      <c r="F3" s="91"/>
      <c r="G3" s="181" t="s">
        <v>233</v>
      </c>
      <c r="H3" s="101" t="s">
        <v>14</v>
      </c>
      <c r="I3" s="17">
        <v>93000</v>
      </c>
      <c r="J3" s="11" t="s">
        <v>236</v>
      </c>
      <c r="K3" s="91"/>
    </row>
    <row r="4" spans="1:11">
      <c r="A4" s="91"/>
      <c r="B4" s="103" t="s">
        <v>237</v>
      </c>
      <c r="C4" s="104">
        <v>327165</v>
      </c>
      <c r="D4" s="182" t="s">
        <v>239</v>
      </c>
      <c r="E4" s="91"/>
      <c r="F4" s="91"/>
      <c r="G4" s="162"/>
      <c r="H4" s="101" t="s">
        <v>240</v>
      </c>
      <c r="I4" s="17">
        <v>93000</v>
      </c>
      <c r="J4" s="11" t="s">
        <v>236</v>
      </c>
      <c r="K4" s="91"/>
    </row>
    <row r="5" spans="1:11">
      <c r="A5" s="91"/>
      <c r="B5" s="106" t="s">
        <v>242</v>
      </c>
      <c r="C5" s="108">
        <v>200</v>
      </c>
      <c r="D5" s="162"/>
      <c r="E5" s="91"/>
      <c r="F5" s="91"/>
      <c r="G5" s="162"/>
      <c r="H5" s="101" t="s">
        <v>245</v>
      </c>
      <c r="I5" s="17">
        <v>93000</v>
      </c>
      <c r="J5" s="11" t="s">
        <v>236</v>
      </c>
      <c r="K5" s="91"/>
    </row>
    <row r="6" spans="1:11">
      <c r="A6" s="91"/>
      <c r="B6" s="106" t="s">
        <v>247</v>
      </c>
      <c r="C6" s="111">
        <v>50000</v>
      </c>
      <c r="D6" s="162"/>
      <c r="E6" s="91"/>
      <c r="F6" s="91"/>
      <c r="G6" s="162"/>
      <c r="H6" s="101" t="s">
        <v>248</v>
      </c>
      <c r="I6" s="17">
        <v>93000</v>
      </c>
      <c r="J6" s="11" t="s">
        <v>236</v>
      </c>
      <c r="K6" s="91"/>
    </row>
    <row r="7" spans="1:11">
      <c r="A7" s="91"/>
      <c r="B7" s="114" t="s">
        <v>249</v>
      </c>
      <c r="C7" s="115">
        <v>276965</v>
      </c>
      <c r="D7" s="147"/>
      <c r="E7" s="91"/>
      <c r="F7" s="91"/>
      <c r="G7" s="162"/>
      <c r="H7" s="101" t="s">
        <v>60</v>
      </c>
      <c r="I7" s="17">
        <v>93000</v>
      </c>
      <c r="J7" s="11" t="s">
        <v>236</v>
      </c>
      <c r="K7" s="91"/>
    </row>
    <row r="8" spans="1:11" ht="15.75" customHeight="1">
      <c r="A8" s="91"/>
      <c r="B8" s="117" t="s">
        <v>251</v>
      </c>
      <c r="C8" s="119">
        <v>275545</v>
      </c>
      <c r="D8" s="182"/>
      <c r="E8" s="91"/>
      <c r="F8" s="91"/>
      <c r="G8" s="162"/>
      <c r="H8" s="101" t="s">
        <v>55</v>
      </c>
      <c r="I8" s="17">
        <v>93000</v>
      </c>
      <c r="J8" s="11" t="s">
        <v>236</v>
      </c>
      <c r="K8" s="91"/>
    </row>
    <row r="9" spans="1:11">
      <c r="A9" s="91"/>
      <c r="B9" s="114" t="s">
        <v>80</v>
      </c>
      <c r="C9" s="108">
        <v>100000</v>
      </c>
      <c r="D9" s="162"/>
      <c r="E9" s="91"/>
      <c r="F9" s="91"/>
      <c r="G9" s="147"/>
      <c r="H9" s="101" t="s">
        <v>253</v>
      </c>
      <c r="I9" s="17">
        <v>93000</v>
      </c>
      <c r="J9" s="11" t="s">
        <v>236</v>
      </c>
      <c r="K9" s="91"/>
    </row>
    <row r="10" spans="1:11">
      <c r="A10" s="91"/>
      <c r="B10" s="114" t="s">
        <v>93</v>
      </c>
      <c r="C10" s="108">
        <v>55500</v>
      </c>
      <c r="D10" s="162"/>
      <c r="E10" s="91"/>
      <c r="F10" s="91"/>
      <c r="G10" s="4" t="s">
        <v>255</v>
      </c>
      <c r="H10" s="11"/>
      <c r="I10" s="17">
        <v>0</v>
      </c>
      <c r="J10" s="121"/>
      <c r="K10" s="91"/>
    </row>
    <row r="11" spans="1:11">
      <c r="A11" s="91"/>
      <c r="B11" s="114" t="s">
        <v>118</v>
      </c>
      <c r="C11" s="108">
        <v>1000</v>
      </c>
      <c r="D11" s="162"/>
      <c r="E11" s="91"/>
      <c r="F11" s="91"/>
      <c r="G11" s="4" t="s">
        <v>256</v>
      </c>
      <c r="H11" s="121"/>
      <c r="I11" s="122">
        <f>SUM(I3:I10)</f>
        <v>651000</v>
      </c>
      <c r="J11" s="121"/>
      <c r="K11" s="91"/>
    </row>
    <row r="12" spans="1:11">
      <c r="A12" s="91"/>
      <c r="B12" s="114" t="s">
        <v>136</v>
      </c>
      <c r="C12" s="108">
        <v>26000</v>
      </c>
      <c r="D12" s="162"/>
      <c r="E12" s="91"/>
      <c r="F12" s="91"/>
      <c r="G12" s="123" t="s">
        <v>257</v>
      </c>
      <c r="H12" s="124"/>
      <c r="I12" s="125"/>
      <c r="J12" s="126">
        <f>C17</f>
        <v>646210</v>
      </c>
      <c r="K12" s="91"/>
    </row>
    <row r="13" spans="1:11">
      <c r="A13" s="91"/>
      <c r="B13" s="114" t="s">
        <v>260</v>
      </c>
      <c r="C13" s="108">
        <v>7000</v>
      </c>
      <c r="D13" s="162"/>
      <c r="E13" s="91"/>
      <c r="F13" s="91"/>
      <c r="G13" s="91"/>
      <c r="H13" s="91"/>
      <c r="I13" s="91"/>
      <c r="J13" s="91"/>
      <c r="K13" s="91"/>
    </row>
    <row r="14" spans="1:11">
      <c r="A14" s="91"/>
      <c r="B14" s="114" t="s">
        <v>262</v>
      </c>
      <c r="C14" s="108">
        <v>2000</v>
      </c>
      <c r="D14" s="147"/>
      <c r="E14" s="91"/>
      <c r="F14" s="91"/>
      <c r="G14" s="91"/>
      <c r="H14" s="91"/>
      <c r="I14" s="91"/>
      <c r="J14" s="91"/>
      <c r="K14" s="91"/>
    </row>
    <row r="15" spans="1:11">
      <c r="A15" s="91"/>
      <c r="B15" s="106" t="s">
        <v>263</v>
      </c>
      <c r="C15" s="127">
        <v>84045</v>
      </c>
      <c r="D15" s="129"/>
      <c r="E15" s="91"/>
      <c r="F15" s="91"/>
      <c r="G15" s="91"/>
      <c r="H15" s="91"/>
      <c r="I15" s="91"/>
      <c r="J15" s="91"/>
      <c r="K15" s="91"/>
    </row>
    <row r="16" spans="1:11">
      <c r="A16" s="91"/>
      <c r="B16" s="103" t="s">
        <v>266</v>
      </c>
      <c r="C16" s="130">
        <v>43500</v>
      </c>
      <c r="D16" s="131"/>
      <c r="E16" s="91"/>
      <c r="F16" s="91"/>
      <c r="G16" s="91"/>
      <c r="H16" s="91"/>
      <c r="I16" s="91"/>
      <c r="J16" s="91"/>
      <c r="K16" s="91"/>
    </row>
    <row r="17" spans="1:11">
      <c r="A17" s="91"/>
      <c r="B17" s="103" t="s">
        <v>269</v>
      </c>
      <c r="C17" s="183">
        <f>C4+C8+C16</f>
        <v>646210</v>
      </c>
      <c r="D17" s="184"/>
      <c r="E17" s="132"/>
      <c r="F17" s="91"/>
      <c r="G17" s="91"/>
      <c r="H17" s="91"/>
      <c r="I17" s="91"/>
      <c r="J17" s="91"/>
      <c r="K17" s="91"/>
    </row>
  </sheetData>
  <mergeCells count="4">
    <mergeCell ref="G3:G9"/>
    <mergeCell ref="D4:D7"/>
    <mergeCell ref="D8:D14"/>
    <mergeCell ref="C17:D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24"/>
  <sheetViews>
    <sheetView workbookViewId="0"/>
  </sheetViews>
  <sheetFormatPr defaultColWidth="12.6328125" defaultRowHeight="15.75" customHeight="1"/>
  <cols>
    <col min="1" max="1" width="29.453125" customWidth="1"/>
    <col min="2" max="2" width="28.08984375" customWidth="1"/>
    <col min="3" max="3" width="73.453125" customWidth="1"/>
  </cols>
  <sheetData>
    <row r="1" spans="1:15">
      <c r="A1" s="14" t="s">
        <v>287</v>
      </c>
      <c r="B1" s="14" t="s">
        <v>288</v>
      </c>
      <c r="C1" s="14" t="s">
        <v>289</v>
      </c>
      <c r="D1" s="3"/>
      <c r="E1" s="3"/>
      <c r="F1" s="3"/>
      <c r="G1" s="3"/>
      <c r="H1" s="3"/>
      <c r="I1" s="3"/>
      <c r="J1" s="3"/>
      <c r="K1" s="3"/>
      <c r="L1" s="3"/>
      <c r="M1" s="3"/>
      <c r="N1" s="3"/>
      <c r="O1" s="3"/>
    </row>
    <row r="2" spans="1:15">
      <c r="A2" s="4" t="s">
        <v>290</v>
      </c>
      <c r="B2" s="136" t="s">
        <v>291</v>
      </c>
      <c r="C2" s="136" t="s">
        <v>293</v>
      </c>
      <c r="D2" s="3"/>
      <c r="E2" s="3"/>
      <c r="F2" s="3"/>
      <c r="G2" s="3"/>
      <c r="H2" s="3"/>
      <c r="I2" s="3"/>
      <c r="J2" s="3"/>
      <c r="K2" s="3"/>
      <c r="L2" s="3"/>
    </row>
    <row r="3" spans="1:15">
      <c r="A3" s="137" t="s">
        <v>294</v>
      </c>
      <c r="B3" s="136" t="s">
        <v>291</v>
      </c>
      <c r="C3" s="136" t="s">
        <v>296</v>
      </c>
      <c r="D3" s="3"/>
      <c r="E3" s="3"/>
      <c r="F3" s="3"/>
      <c r="G3" s="3"/>
      <c r="H3" s="3"/>
      <c r="I3" s="3"/>
      <c r="J3" s="3"/>
      <c r="K3" s="3"/>
      <c r="L3" s="3"/>
    </row>
    <row r="4" spans="1:15">
      <c r="A4" s="137" t="s">
        <v>297</v>
      </c>
      <c r="B4" s="136" t="s">
        <v>298</v>
      </c>
      <c r="C4" s="136" t="s">
        <v>299</v>
      </c>
      <c r="D4" s="3"/>
      <c r="E4" s="3"/>
      <c r="F4" s="3"/>
      <c r="G4" s="3"/>
      <c r="H4" s="3"/>
      <c r="I4" s="3"/>
      <c r="J4" s="3"/>
      <c r="K4" s="3"/>
      <c r="L4" s="3"/>
    </row>
    <row r="5" spans="1:15">
      <c r="A5" s="137" t="s">
        <v>300</v>
      </c>
      <c r="B5" s="136" t="s">
        <v>301</v>
      </c>
      <c r="C5" s="136" t="s">
        <v>302</v>
      </c>
      <c r="D5" s="3"/>
      <c r="E5" s="3"/>
      <c r="F5" s="3"/>
      <c r="G5" s="3"/>
      <c r="H5" s="3"/>
      <c r="I5" s="3"/>
      <c r="J5" s="3"/>
      <c r="K5" s="3"/>
      <c r="L5" s="3"/>
    </row>
    <row r="6" spans="1:15">
      <c r="A6" s="4" t="s">
        <v>303</v>
      </c>
      <c r="B6" s="136" t="s">
        <v>304</v>
      </c>
      <c r="C6" s="136" t="s">
        <v>305</v>
      </c>
      <c r="D6" s="3"/>
      <c r="E6" s="3"/>
      <c r="F6" s="3"/>
      <c r="G6" s="3"/>
      <c r="H6" s="3"/>
      <c r="I6" s="3"/>
      <c r="J6" s="3"/>
      <c r="K6" s="3"/>
      <c r="L6" s="3"/>
    </row>
    <row r="7" spans="1:15">
      <c r="A7" s="4" t="s">
        <v>306</v>
      </c>
      <c r="B7" s="136" t="s">
        <v>304</v>
      </c>
      <c r="C7" s="136" t="s">
        <v>308</v>
      </c>
      <c r="D7" s="3"/>
      <c r="E7" s="3"/>
      <c r="F7" s="3"/>
      <c r="G7" s="3"/>
      <c r="H7" s="3"/>
      <c r="I7" s="3"/>
      <c r="J7" s="3"/>
      <c r="K7" s="3"/>
      <c r="L7" s="3"/>
    </row>
    <row r="8" spans="1:15">
      <c r="A8" s="4" t="s">
        <v>309</v>
      </c>
      <c r="B8" s="136" t="s">
        <v>291</v>
      </c>
      <c r="C8" s="136" t="s">
        <v>310</v>
      </c>
      <c r="D8" s="3"/>
      <c r="E8" s="3"/>
      <c r="F8" s="3"/>
      <c r="G8" s="3"/>
      <c r="H8" s="3"/>
      <c r="I8" s="3"/>
      <c r="J8" s="3"/>
      <c r="K8" s="3"/>
      <c r="L8" s="3"/>
    </row>
    <row r="9" spans="1:15">
      <c r="A9" s="4" t="s">
        <v>311</v>
      </c>
      <c r="B9" s="136" t="s">
        <v>291</v>
      </c>
      <c r="C9" s="136" t="s">
        <v>312</v>
      </c>
      <c r="D9" s="3"/>
      <c r="E9" s="3"/>
      <c r="F9" s="3"/>
      <c r="G9" s="3"/>
      <c r="H9" s="3"/>
      <c r="I9" s="3"/>
      <c r="J9" s="3"/>
      <c r="K9" s="3"/>
      <c r="L9" s="3"/>
      <c r="M9" s="3"/>
      <c r="N9" s="3"/>
      <c r="O9" s="3"/>
    </row>
    <row r="10" spans="1:15" ht="15.75" customHeight="1">
      <c r="A10" s="3"/>
      <c r="B10" s="3"/>
      <c r="C10" s="3"/>
      <c r="D10" s="3"/>
      <c r="E10" s="3"/>
      <c r="F10" s="3"/>
      <c r="G10" s="3"/>
      <c r="H10" s="3"/>
      <c r="I10" s="3"/>
      <c r="J10" s="3"/>
      <c r="K10" s="3"/>
      <c r="L10" s="3"/>
      <c r="M10" s="3"/>
      <c r="N10" s="3"/>
      <c r="O10" s="3"/>
    </row>
    <row r="11" spans="1:15" ht="15.75" customHeight="1">
      <c r="A11" s="3"/>
      <c r="B11" s="3"/>
      <c r="C11" s="3"/>
      <c r="D11" s="3"/>
      <c r="E11" s="3"/>
      <c r="F11" s="3"/>
      <c r="G11" s="3"/>
      <c r="H11" s="3"/>
      <c r="I11" s="3"/>
      <c r="J11" s="3"/>
      <c r="K11" s="3"/>
      <c r="L11" s="3"/>
      <c r="M11" s="3"/>
      <c r="N11" s="3"/>
      <c r="O11" s="3"/>
    </row>
    <row r="12" spans="1:15" ht="15.75" customHeight="1">
      <c r="A12" s="3"/>
      <c r="B12" s="3"/>
      <c r="C12" s="3"/>
      <c r="D12" s="3"/>
      <c r="E12" s="3"/>
      <c r="F12" s="3"/>
      <c r="G12" s="3"/>
      <c r="H12" s="3"/>
      <c r="I12" s="3"/>
      <c r="J12" s="3"/>
      <c r="K12" s="3"/>
      <c r="L12" s="3"/>
      <c r="M12" s="3"/>
      <c r="N12" s="3"/>
      <c r="O12" s="3"/>
    </row>
    <row r="13" spans="1:15" ht="15.75" customHeight="1">
      <c r="A13" s="3"/>
      <c r="B13" s="3"/>
      <c r="C13" s="3"/>
      <c r="D13" s="3"/>
      <c r="E13" s="3"/>
      <c r="F13" s="3"/>
      <c r="G13" s="3"/>
      <c r="H13" s="3"/>
      <c r="I13" s="3"/>
      <c r="J13" s="3"/>
      <c r="K13" s="3"/>
      <c r="L13" s="3"/>
      <c r="M13" s="3"/>
      <c r="N13" s="3"/>
      <c r="O13" s="3"/>
    </row>
    <row r="14" spans="1:15" ht="15.75" customHeight="1">
      <c r="A14" s="3"/>
      <c r="B14" s="3"/>
      <c r="C14" s="3"/>
      <c r="D14" s="3"/>
      <c r="E14" s="3"/>
      <c r="F14" s="3"/>
      <c r="G14" s="3"/>
      <c r="H14" s="3"/>
      <c r="I14" s="3"/>
      <c r="J14" s="3"/>
      <c r="K14" s="3"/>
      <c r="L14" s="3"/>
      <c r="M14" s="3"/>
      <c r="N14" s="3"/>
      <c r="O14" s="3"/>
    </row>
    <row r="15" spans="1:15" ht="15.75" customHeight="1">
      <c r="A15" s="3"/>
      <c r="B15" s="3"/>
      <c r="C15" s="3"/>
      <c r="D15" s="3"/>
      <c r="E15" s="3"/>
      <c r="F15" s="3"/>
      <c r="G15" s="3"/>
      <c r="H15" s="3"/>
      <c r="I15" s="3"/>
      <c r="J15" s="3"/>
      <c r="K15" s="3"/>
      <c r="L15" s="3"/>
      <c r="M15" s="3"/>
      <c r="N15" s="3"/>
      <c r="O15" s="3"/>
    </row>
    <row r="16" spans="1:15" ht="15.75" customHeight="1">
      <c r="A16" s="3"/>
      <c r="B16" s="3"/>
      <c r="C16" s="3"/>
      <c r="D16" s="3"/>
      <c r="E16" s="3"/>
      <c r="F16" s="3"/>
      <c r="G16" s="3"/>
      <c r="H16" s="3"/>
      <c r="I16" s="3"/>
      <c r="J16" s="3"/>
      <c r="K16" s="3"/>
      <c r="L16" s="3"/>
      <c r="M16" s="3"/>
      <c r="N16" s="3"/>
      <c r="O16" s="3"/>
    </row>
    <row r="17" spans="1:15" ht="15.75" customHeight="1">
      <c r="A17" s="3"/>
      <c r="B17" s="3"/>
      <c r="C17" s="3"/>
      <c r="D17" s="3"/>
      <c r="E17" s="3"/>
      <c r="F17" s="3"/>
      <c r="G17" s="3"/>
      <c r="H17" s="3"/>
      <c r="I17" s="3"/>
      <c r="J17" s="3"/>
      <c r="K17" s="3"/>
      <c r="L17" s="3"/>
      <c r="M17" s="3"/>
      <c r="N17" s="3"/>
      <c r="O17" s="3"/>
    </row>
    <row r="18" spans="1:15" ht="15.75" customHeight="1">
      <c r="A18" s="3"/>
      <c r="B18" s="3"/>
      <c r="C18" s="3"/>
      <c r="D18" s="3"/>
      <c r="E18" s="3"/>
      <c r="F18" s="3"/>
      <c r="G18" s="3"/>
      <c r="H18" s="3"/>
      <c r="I18" s="3"/>
      <c r="J18" s="3"/>
      <c r="K18" s="3"/>
      <c r="L18" s="3"/>
      <c r="M18" s="3"/>
      <c r="N18" s="3"/>
      <c r="O18" s="3"/>
    </row>
    <row r="19" spans="1:15" ht="15.75" customHeight="1">
      <c r="A19" s="3"/>
      <c r="B19" s="3"/>
      <c r="C19" s="3"/>
      <c r="D19" s="3"/>
      <c r="E19" s="3"/>
      <c r="F19" s="3"/>
      <c r="G19" s="3"/>
      <c r="H19" s="3"/>
      <c r="I19" s="3"/>
      <c r="J19" s="3"/>
      <c r="K19" s="3"/>
      <c r="L19" s="3"/>
      <c r="M19" s="3"/>
      <c r="N19" s="3"/>
      <c r="O19" s="3"/>
    </row>
    <row r="20" spans="1:15" ht="13">
      <c r="A20" s="3"/>
      <c r="B20" s="3"/>
      <c r="C20" s="3"/>
      <c r="D20" s="3"/>
      <c r="E20" s="3"/>
      <c r="F20" s="3"/>
      <c r="G20" s="3"/>
      <c r="H20" s="3"/>
      <c r="I20" s="3"/>
      <c r="J20" s="3"/>
      <c r="K20" s="3"/>
      <c r="L20" s="3"/>
      <c r="M20" s="3"/>
      <c r="N20" s="3"/>
      <c r="O20" s="3"/>
    </row>
    <row r="21" spans="1:15" ht="13">
      <c r="A21" s="3"/>
      <c r="B21" s="3"/>
      <c r="C21" s="3"/>
      <c r="D21" s="3"/>
      <c r="E21" s="3"/>
      <c r="F21" s="3"/>
      <c r="G21" s="3"/>
      <c r="H21" s="3"/>
      <c r="I21" s="3"/>
      <c r="J21" s="3"/>
      <c r="K21" s="3"/>
      <c r="L21" s="3"/>
      <c r="M21" s="3"/>
      <c r="N21" s="3"/>
      <c r="O21" s="3"/>
    </row>
    <row r="22" spans="1:15" ht="13">
      <c r="A22" s="3"/>
      <c r="B22" s="3"/>
      <c r="C22" s="3"/>
      <c r="D22" s="3"/>
      <c r="E22" s="3"/>
      <c r="F22" s="3"/>
      <c r="G22" s="3"/>
      <c r="H22" s="3"/>
      <c r="I22" s="3"/>
      <c r="J22" s="3"/>
      <c r="K22" s="3"/>
      <c r="L22" s="3"/>
      <c r="M22" s="3"/>
      <c r="N22" s="3"/>
      <c r="O22" s="3"/>
    </row>
    <row r="23" spans="1:15" ht="13">
      <c r="A23" s="3"/>
      <c r="B23" s="3"/>
      <c r="C23" s="3"/>
      <c r="D23" s="3"/>
      <c r="E23" s="3"/>
      <c r="F23" s="3"/>
      <c r="G23" s="3"/>
      <c r="H23" s="3"/>
      <c r="I23" s="3"/>
      <c r="J23" s="3"/>
      <c r="K23" s="3"/>
      <c r="L23" s="3"/>
      <c r="M23" s="3"/>
      <c r="N23" s="3"/>
      <c r="O23" s="3"/>
    </row>
    <row r="24" spans="1:15" ht="13">
      <c r="A24" s="3"/>
      <c r="B24" s="3"/>
      <c r="C24" s="3"/>
      <c r="D24" s="3"/>
      <c r="E24" s="3"/>
      <c r="F24" s="3"/>
      <c r="G24" s="3"/>
      <c r="H24" s="3"/>
      <c r="I24" s="3"/>
      <c r="J24" s="3"/>
      <c r="K24" s="3"/>
      <c r="L24" s="3"/>
      <c r="M24" s="3"/>
      <c r="N24" s="3"/>
      <c r="O2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Ước tính chi phí</vt:lpstr>
      <vt:lpstr>giá bán sp</vt:lpstr>
      <vt:lpstr>Doanh thu</vt:lpstr>
      <vt:lpstr>vị trí công việc</vt:lpstr>
      <vt:lpstr>xúc tiến bán</vt:lpstr>
      <vt:lpstr>Danh mục sản phẩm</vt:lpstr>
      <vt:lpstr>Bảng lợi nhuận</vt:lpstr>
      <vt:lpstr>ước tính vốn</vt:lpstr>
      <vt:lpstr>rủi ro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Vinacom</dc:creator>
  <cp:lastModifiedBy>Vinacom</cp:lastModifiedBy>
  <dcterms:created xsi:type="dcterms:W3CDTF">2026-08-09T14:33:18Z</dcterms:created>
  <dcterms:modified xsi:type="dcterms:W3CDTF">2026-08-09T14:33:18Z</dcterms:modified>
</cp:coreProperties>
</file>