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Sản phẩm" sheetId="1" r:id="rId5"/>
    <sheet state="visible" name="2.Giá" sheetId="2" r:id="rId6"/>
    <sheet state="visible" name="3.Địa điểm" sheetId="3" r:id="rId7"/>
    <sheet state="visible" name="4.Xúc tiến" sheetId="4" r:id="rId8"/>
    <sheet state="visible" name="5.Cơ cấu tổ chức" sheetId="5" r:id="rId9"/>
    <sheet state="visible" name="6.NV và Chi phí" sheetId="6" r:id="rId10"/>
    <sheet state="visible" name="7.Ước tính doanh thu" sheetId="7" r:id="rId11"/>
    <sheet state="visible" name="8.CP giá vốn" sheetId="8" r:id="rId12"/>
    <sheet state="visible" name="9.TSCĐ_CCDC_KH" sheetId="9" r:id="rId13"/>
    <sheet state="visible" name="10.KH Lợi nhuận" sheetId="10" r:id="rId14"/>
    <sheet state="visible" name="11.Nguồn vốn khởi sự" sheetId="11" r:id="rId15"/>
  </sheets>
  <definedNames/>
  <calcPr/>
</workbook>
</file>

<file path=xl/sharedStrings.xml><?xml version="1.0" encoding="utf-8"?>
<sst xmlns="http://schemas.openxmlformats.org/spreadsheetml/2006/main" count="696" uniqueCount="383">
  <si>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KẾ HOẠCH MARKETING:</t>
  </si>
  <si>
    <t xml:space="preserve">KẾ HOẠCH MARKETING: </t>
  </si>
  <si>
    <t>Tháng 01 - 06 (Giai đoạn tung sản phẩm &amp; Xây dựng nhận diện)</t>
  </si>
  <si>
    <t>SẢN PHẨM/ DỊCH VỤ KINH DOANH (ĐỒ CHƠI GỖ TRẺ EM)</t>
  </si>
  <si>
    <t>ĐỊA ĐIỂM (PLACE)</t>
  </si>
  <si>
    <t>ĐVT: Đồng</t>
  </si>
  <si>
    <t>TT</t>
  </si>
  <si>
    <t>Tháng 01 - 06</t>
  </si>
  <si>
    <t>Tên
sản phẩm, dịch vụ</t>
  </si>
  <si>
    <t>Tên
 sản phẩm/ dịch vụ</t>
  </si>
  <si>
    <t>Nội dung</t>
  </si>
  <si>
    <t>Mô tả</t>
  </si>
  <si>
    <t>Ghi chú</t>
  </si>
  <si>
    <t>ĐVT</t>
  </si>
  <si>
    <t>Giá
nhập/ Giá thành</t>
  </si>
  <si>
    <t>Giá
bán</t>
  </si>
  <si>
    <t>Hình ảnh SP</t>
  </si>
  <si>
    <t>Tỷ suất lời (%)</t>
  </si>
  <si>
    <t>Nội dung thực hiện</t>
  </si>
  <si>
    <t>Đặc điểm (Thành phần &amp; Quy cách)</t>
  </si>
  <si>
    <t>Giá bán
của đối thủ Việt Tiến</t>
  </si>
  <si>
    <t>Tần suất thực hiện</t>
  </si>
  <si>
    <t>Lợi thế</t>
  </si>
  <si>
    <t>Đơn giá</t>
  </si>
  <si>
    <t>Lợi ích</t>
  </si>
  <si>
    <t>Chi phí dự kiến</t>
  </si>
  <si>
    <t>Chất liệu</t>
  </si>
  <si>
    <t>Màu sắc</t>
  </si>
  <si>
    <t>Size</t>
  </si>
  <si>
    <t>Địa chỉ kinh doanh</t>
  </si>
  <si>
    <t>Link giá đối thủ 1</t>
  </si>
  <si>
    <t>Mô tả dịch vụ</t>
  </si>
  <si>
    <t>Giá bán
của đối thủ B</t>
  </si>
  <si>
    <t>Link giá đối thủ 2</t>
  </si>
  <si>
    <t>44 Đường Phan Chu Trinh, Phường Buôn Ma Thuột, Đắk Lắk</t>
  </si>
  <si>
    <t>Bảng chữ cái nổi</t>
  </si>
  <si>
    <t>Cái</t>
  </si>
  <si>
    <t>Diễn giải CP</t>
  </si>
  <si>
    <t>https://www.facebook.com/share/p/1BrcZTpxwq/</t>
  </si>
  <si>
    <t>I</t>
  </si>
  <si>
    <t>Gỗ Dẻ gai / Sồi. Chữ cái cắt rời, sơn gốc nước nhiều màu. Đóng hộp giấy kraft cao cấp.</t>
  </si>
  <si>
    <t>Tính giáo dục cao, thiết kế 3D giúp trẻ dễ cầm nắm.</t>
  </si>
  <si>
    <t>Phát triển thị giác, xúc giác và nhận biết mặt chữ sớm.</t>
  </si>
  <si>
    <t>Gỗ tự nhiên</t>
  </si>
  <si>
    <t>Offline</t>
  </si>
  <si>
    <t>Đa màu sắc (Đỏ, xanh, vàng...)</t>
  </si>
  <si>
    <t>30 x 20 cm</t>
  </si>
  <si>
    <t>Giúp bé nhận biết chữ cái &amp; phát triển tư duy</t>
  </si>
  <si>
    <t>Bộ khối lắp ráp</t>
  </si>
  <si>
    <t>Bao</t>
  </si>
  <si>
    <t>Gỗ Thông/Cao su tự nhiên. Các khối hình học (vuông, tròn, tam giác). Túi vải canvas đựng đồ.</t>
  </si>
  <si>
    <t>Linh hoạt, số lượng chi tiết lớn nhưng giá vốn thấp.</t>
  </si>
  <si>
    <t>Kích thích sáng tạo, tư duy hình khối và phối hợp tay mắt.</t>
  </si>
  <si>
    <t>Gỗ cao cấp</t>
  </si>
  <si>
    <t>Phối nhiều màu</t>
  </si>
  <si>
    <t>50 chi tiết</t>
  </si>
  <si>
    <t>Rèn luyện khả năng sáng tạo &amp; khéo tay</t>
  </si>
  <si>
    <t>Đồ chơi xếp chồng</t>
  </si>
  <si>
    <t>Chương trình giảm 15% tuần lễ khai trương</t>
  </si>
  <si>
    <t>Các vòng gỗ kích thước khác nhau lồng vào trục. Mài nhẵn bề mặt bằng sáp ong.</t>
  </si>
  <si>
    <t>1 lần</t>
  </si>
  <si>
    <t>Sản phẩm "phễu" dễ bán, quy trình làm nhanh, ít tốn gỗ.</t>
  </si>
  <si>
    <t>Học về kích thước (to/nhỏ) và sự khéo léo của đôi tay.</t>
  </si>
  <si>
    <t>Đa màu sắc</t>
  </si>
  <si>
    <t>Lý do chọn địa điểm này</t>
  </si>
  <si>
    <t>15 x 15 x 20 cm</t>
  </si>
  <si>
    <t>Rèn tư duy logic &amp; phân biệt kích thước</t>
  </si>
  <si>
    <t>Ngay mặt tiền, gần khu dân cư đông đúc, có mặt bằng để kinh doanh, kèm theo có phòng để trông coi tiệm, nghỉ ngơi</t>
  </si>
  <si>
    <t>Xe tập đi gỗ</t>
  </si>
  <si>
    <t>Cấu trúc chữ L vững chãi, có tiếng lách cách khi đẩy. Bánh xe bọc cao su chống trượt.</t>
  </si>
  <si>
    <t>Độ bền vượt trội so với xe nhựa, trọng lượng đầm giúp bé an toàn.</t>
  </si>
  <si>
    <t>Hỗ trợ vận động, giúp bé tự tin trong những bước đi đầu đời.</t>
  </si>
  <si>
    <t>Tự nhiên - Đỏ - Xanh</t>
  </si>
  <si>
    <t>40 x 30 x 45 cm</t>
  </si>
  <si>
    <t>Hỗ trợ bé tập đi an toàn, chống trượt</t>
  </si>
  <si>
    <t xml:space="preserve"> 
Tận dụng được tối đa lưu lượng người qua lại tự nhiên (organic traffic) mỗi ngày</t>
  </si>
  <si>
    <t>Ngựa bập bênh</t>
  </si>
  <si>
    <t>Diện tích</t>
  </si>
  <si>
    <t>Gỗ tấm dày (20-30mm), ghép mộng chắc chắn. Bề mặt sơn mờ bóng hoặc lau dầu</t>
  </si>
  <si>
    <t>Giá trị decor cao, là món quà sang trọng cho các dịp thôi nôi.</t>
  </si>
  <si>
    <t>Rèn luyện khả năng giữ thăng bằng và sức mạnh cơ bắp cho bé.</t>
  </si>
  <si>
    <t>50 mét vuông</t>
  </si>
  <si>
    <t>Gỗ mộc / Vàng chanh</t>
  </si>
  <si>
    <t>68 x 30 x 50 cm</t>
  </si>
  <si>
    <t>Chiết khấu trực tiếp vào giá bán, giảm biên độ lợi nhuận</t>
  </si>
  <si>
    <t>Tăng cường vận động &amp; khả năng thăng bằng</t>
  </si>
  <si>
    <t>Bộ xếp hình lâu đài</t>
  </si>
  <si>
    <t>https://linhanhkids.com/san-pham/bang-chu-cai-noi-tieng-viet-thong-minh/</t>
  </si>
  <si>
    <t>Các khối gỗ hình trụ, mái chóp, cổng thành.</t>
  </si>
  <si>
    <t>Cần đủ không gian để phân chia rõ ràng 2 khu vực: quầy kệ văn phòng phẩm (gọn gàng, nhiều chi tiết) và khu đồ gia dụng (cần không gian rộng hơn).</t>
  </si>
  <si>
    <t>Đa năng, chơi được nhiều cách phối hợp.</t>
  </si>
  <si>
    <t>Xây dựng tư duy logic và tính kiên trì.</t>
  </si>
  <si>
    <t>100 chi tiết</t>
  </si>
  <si>
    <t>Chi phí thuê hàng tháng</t>
  </si>
  <si>
    <t>Phát triển trí tưởng tượng &amp; không gian</t>
  </si>
  <si>
    <t>Đồ chơi câu cá gỗ</t>
  </si>
  <si>
    <t>Gồm cần câu có nam châm và các con cá gỗ.</t>
  </si>
  <si>
    <t>đồng/tháng</t>
  </si>
  <si>
    <t>Tương tác tốt (có thể chơi cùng ba mẹ/bạn bè).</t>
  </si>
  <si>
    <t>Luyện sự khéo léo của đôi tay và tính tập trung.</t>
  </si>
  <si>
    <t>Phát tờ rơi kèm Voucher giảm giá</t>
  </si>
  <si>
    <t>Gỗ &amp; Nam châm</t>
  </si>
  <si>
    <t>Số tiền đặt cọc (nếu có)</t>
  </si>
  <si>
    <t>2 lần/tháng</t>
  </si>
  <si>
    <t>25 x 20 cm</t>
  </si>
  <si>
    <t>Rèn luyện sự khéo léo &amp; tính kiên nhẫn</t>
  </si>
  <si>
    <t>Bộ rút gỗ</t>
  </si>
  <si>
    <t>Phát tại các trường mầm non, khu vui chơi quanh Buôn Ma Thuột/Thanh Hóa</t>
  </si>
  <si>
    <t>Các thanh gỗ hình chữ nhật đồng nhất về kích thước.</t>
  </si>
  <si>
    <t>Giá siêu rẻ (35k), phù hợp làm quà tặng kèm.</t>
  </si>
  <si>
    <t>Rèn luyện sự bình tĩnh và khả năng quan sát.</t>
  </si>
  <si>
    <t>Gỗ thông</t>
  </si>
  <si>
    <t>Màu gỗ tự nhiên</t>
  </si>
  <si>
    <t>Trò chơi gia đình, rèn sự khéo léo</t>
  </si>
  <si>
    <t>Bảng luồn hạt</t>
  </si>
  <si>
    <t>Hạt gỗ đầy màu sắc chạy dọc theo khung dây thép.</t>
  </si>
  <si>
    <t>Độ bền cực cao, không lo hỏng hóc hay thất lạc chi tiết.</t>
  </si>
  <si>
    <t>Tặng kèm móc khóa gỗ khắc tên cho đơn &gt;300k</t>
  </si>
  <si>
    <t>Phát triển vận động tinh và phối hợp tay - mắt.</t>
  </si>
  <si>
    <t>Liên tục</t>
  </si>
  <si>
    <t>Gỗ &amp; Thép bọc nhựa</t>
  </si>
  <si>
    <t>20 x 15 x 18 cm</t>
  </si>
  <si>
    <t>Rèn luyện vận động tinh của đôi tay</t>
  </si>
  <si>
    <t>Dự kiến 150 móc khóa (chi phí nguyên liệu + nhân công khắc)</t>
  </si>
  <si>
    <t>Bảng vẽ tự xóa</t>
  </si>
  <si>
    <t>Khung gỗ, mặt bảng phủ lớp vật liệu dễ xóa.</t>
  </si>
  <si>
    <t>Sạch sẽ, bảo vệ môi trường, không dùng phấn/mực.</t>
  </si>
  <si>
    <t>Cọc 1 tháng (ĐVT: đồng)</t>
  </si>
  <si>
    <t>Khuyến khích bé sáng tạo, vẽ vời không giới hạn.</t>
  </si>
  <si>
    <t>Gỗ &amp; Nhựa ABS</t>
  </si>
  <si>
    <t>Xanh - Hồng</t>
  </si>
  <si>
    <t>30 x 25 cm</t>
  </si>
  <si>
    <t>Cho bé thỏa sức sáng tạo không bẩn tay</t>
  </si>
  <si>
    <t>II</t>
  </si>
  <si>
    <t>Online</t>
  </si>
  <si>
    <t>Phương thức phân phối</t>
  </si>
  <si>
    <t>https://shopee.vn/search?keyword=b%E1%BA%A3ng+ch%E1%BB%AF+c%C3%A1i+gh%C3%A9p+nam+ch%C3%A2m+cho+b%C3%A9&amp;utm_source=chatgpt.com</t>
  </si>
  <si>
    <t>Ghi chú:</t>
  </si>
  <si>
    <t>Trực tiếp tại cửa hàng, Online, Facebook, Tiktok,Zalo OA.</t>
  </si>
  <si>
    <t>Kết hợp mô hình kinh doanh O2O (Online to Offline) để tối ưu doanh thu.</t>
  </si>
  <si>
    <t>Đối với sản phẩm hữu hình: điền cột màu xanh</t>
  </si>
  <si>
    <t>Facebook Ads &amp; Shopee Ads</t>
  </si>
  <si>
    <t>6 tháng</t>
  </si>
  <si>
    <t>Đối với dịch vụ: điền cột màu cam</t>
  </si>
  <si>
    <t>Lý do chọn phương thức phân phối này</t>
  </si>
  <si>
    <t>Chạy mục tiêu tương tác, nhắm tới tệp phụ huynh 25-40 tuổi</t>
  </si>
  <si>
    <t>Offline: Tiện lợi thu hút khách hàng bằng các phương pháp marketing truyền thống, tiếp cận trực tiếp khách hàng, dễ dàng trao đổi, tư vấn, phục vụ khách hàng,....</t>
  </si>
  <si>
    <t>Giảm thiểu rủi ro phụ thuộc vào một kênh bán hàng duy nhất, tăng khả năng cạnh tranh.</t>
  </si>
  <si>
    <t>Đối với DN bán lẻ/bán sỉ: tối thiểu 10 sản phẩm</t>
  </si>
  <si>
    <t>Sản xuất Viral Video trên TikTok/Reels</t>
  </si>
  <si>
    <t>2 video/tháng</t>
  </si>
  <si>
    <t>Đối với DN sản xuất: tối thiểu 8 sản phẩm</t>
  </si>
  <si>
    <t>Online: Tối ưu chi phí, tăng doanh số nhờ công nghệ phát triển, tiếp cận với khách hàng mọi lúc mọi nơi,....</t>
  </si>
  <si>
    <t>Quay quá trình làm đồ thủ công, test độ an toàn của sơn nước</t>
  </si>
  <si>
    <t>Đối với DN cung cấp dịch vụ: tối thiểu 4 dịch vụ</t>
  </si>
  <si>
    <t>Phí tham gia các gói Freeship Extra của Shopee</t>
  </si>
  <si>
    <t>Hàng tháng</t>
  </si>
  <si>
    <t>Hỗ trợ phí ship để kích thích chốt đơn hàng xa</t>
  </si>
  <si>
    <t>https://kenhchinhhang.vn/product/bo-mo-hinh-lego-van-ly-truong-thanh-hung-vi-moyu-92007</t>
  </si>
  <si>
    <t>Tháng 07 - 12 (Giai đoạn đẩy mạnh doanh số &amp; Phát triển B2B)</t>
  </si>
  <si>
    <t>https://shopee.vn/search?keyword=b%E1%BB%99%20kh%E1%BB%91i%20l%E1%BA%AFp%20r%C3%A1p</t>
  </si>
  <si>
    <t>Tổng cộng</t>
  </si>
  <si>
    <t>https://linhanhkids.com/danh-muc/do-choi-thong-minh-tri-tue/xep-chong-tha-hinh/</t>
  </si>
  <si>
    <t>https://shopee.vn/bingsutoys?utm_source=chatgpt.com</t>
  </si>
  <si>
    <t>Tháng 07 - 12</t>
  </si>
  <si>
    <t>https://www.lazada.vn/tag/bap-benh-nhua-cho-be/</t>
  </si>
  <si>
    <t>Chào hàng trực tiếp (B2B) tới trường mầm non</t>
  </si>
  <si>
    <t>1 lần/tháng</t>
  </si>
  <si>
    <t>Chi phí đi lại, in catalogue và gửi sản phẩm mẫu (sample)</t>
  </si>
  <si>
    <t>Tham gia hội chợ triển lãm Mẹ &amp; Bé</t>
  </si>
  <si>
    <t>https://babycuatoi.vn/bap-benh?srsltid=AfmBOop1-_i2kdnNN4XQ9E9R_EDBHUitq-ggTymZL61exUQX2_-3NzFb</t>
  </si>
  <si>
    <t>Phí thuê gian hàng trưng bày và banner</t>
  </si>
  <si>
    <t>Tổ chức Workshop "Cùng bé tô màu đồ chơi gỗ"</t>
  </si>
  <si>
    <t>1 lần/quý</t>
  </si>
  <si>
    <t>Tạo phễu khách hàng trực tiếp, chi phí bao gồm phôi gỗ và sơn</t>
  </si>
  <si>
    <t>https://thegioixechobe.com/do-choi-tre-em/xe-tap-di-cho-be-bang-go-cao-cap-chinh-hang-iq-viet-nam.html</t>
  </si>
  <si>
    <t>Facebook Ads &amp; Shopee Ads (duy trì)</t>
  </si>
  <si>
    <t>Đẩy mạnh vào các dịp 1/6, Trung thu, Noel</t>
  </si>
  <si>
    <t>Booking KOC (Mẹ bỉm sữa review trên TikTok)</t>
  </si>
  <si>
    <t>1 người/quý</t>
  </si>
  <si>
    <t>https://xedientiengiang.com/xe-tap-di-go</t>
  </si>
  <si>
    <t>Tặng sản phẩm + phí booking để tăng độ uy tín (trust)</t>
  </si>
  <si>
    <t>Thiết kế lại bộ ảnh sản phẩm chuẩn Concept lễ hội</t>
  </si>
  <si>
    <t>Mua phụ kiện decor chụp ảnh sản phẩm mùa Trung thu, Giáng sinh</t>
  </si>
  <si>
    <t>https://kenhchinhhang.vn/product/bo-mo-hinh-lego-lau-dai-da-swan-moyu-92041</t>
  </si>
  <si>
    <t>https://cosymart.vn/lego-lau-dai-cong-chua-hong-596-pics</t>
  </si>
  <si>
    <t>Gợi ý các hình thức xúc tiến có thể thực hiện:</t>
  </si>
  <si>
    <t>Quảng cáo</t>
  </si>
  <si>
    <t>Khuyến mại &amp; khuyến mãi</t>
  </si>
  <si>
    <t>PR</t>
  </si>
  <si>
    <t>Bán hàng cá nhân</t>
  </si>
  <si>
    <t>SƠ ĐỒ TỔ CHỨC</t>
  </si>
  <si>
    <t>https://www.lazada.vn/tag/do-choi-cau-ca/?srsltid=AfmBOorgjqy90nNC_Ohn2tudqKJjdI0ryEBCbDstG0eJiitXYwU1p-iI</t>
  </si>
  <si>
    <t>CƠ CẤU TỔ CHỨC</t>
  </si>
  <si>
    <t>https://tranganhbabystore.com/bo-do-choi-go-cau-ca-logic-6in1</t>
  </si>
  <si>
    <t>Thông tin</t>
  </si>
  <si>
    <t>Hình thức pháp lý của doanh nghiệp:</t>
  </si>
  <si>
    <t>Công ty trách nhiệm hữu hạn một thành viên</t>
  </si>
  <si>
    <t>https://huyphu.com/bo-do-choi-rut-go-wiss-toy</t>
  </si>
  <si>
    <t>Chủ sở hữu</t>
  </si>
  <si>
    <t>Nguyễn Hoàng Sơn</t>
  </si>
  <si>
    <t>Người đại diện theo pháp luật</t>
  </si>
  <si>
    <t>Ngọc Hoàng Đan Vy</t>
  </si>
  <si>
    <t>https://cosymart.vn/rut-go-mau</t>
  </si>
  <si>
    <t>https://banghehocsinh.vn/san-pham/bo-luon-hat-phi-thuyen/</t>
  </si>
  <si>
    <t>https://www.phudienhanoi.com.vn/bo-luon-hat-3-khung</t>
  </si>
  <si>
    <t>https://mbmart.com.vn/ban-bang-ve-tu-xoa-thong-minh-no776?srsltid=AfmBOoplskc5iQb-mRjK7owYgxz5DUz4tw2QpJuAilLX5sF8xlHgYOLa</t>
  </si>
  <si>
    <t>NHÂN VIÊN VÀ CHI PHÍ</t>
  </si>
  <si>
    <t>https://smarthomekn.vn/bang-ve-dien-tu-thong-minh-tu-xoa-cho-be-12-inch-da-mau</t>
  </si>
  <si>
    <t>Tiền lương</t>
  </si>
  <si>
    <t>Số tiền BHXH + BHYT + BHTN doanh nghiệp phải chi trả</t>
  </si>
  <si>
    <t>ĐVT: Đồng/tháng</t>
  </si>
  <si>
    <t>Chức danh</t>
  </si>
  <si>
    <t>Số lượng</t>
  </si>
  <si>
    <t>Mức lương</t>
  </si>
  <si>
    <t>Mức lương
đóng BHXH</t>
  </si>
  <si>
    <t>BHXH</t>
  </si>
  <si>
    <t>Phương pháp định giá:</t>
  </si>
  <si>
    <t>BHYT</t>
  </si>
  <si>
    <t>BHTN</t>
  </si>
  <si>
    <t>Kinh phí công đoàn</t>
  </si>
  <si>
    <t>Định giá dựa trên chi phí (Cost-Plus) cộng tỷ suất lợi nhuận mong muốn, đồng thời tham khảo và so sánh với giá thị trường / đối thủ cạnh tranh.</t>
  </si>
  <si>
    <t>Mức chiết khấu:</t>
  </si>
  <si>
    <t>Giảm 5% - 10% đơn lẻ giá trị cao; chiết khấu 15% - 20% cho khách sỉ/trường học.</t>
  </si>
  <si>
    <t>Tổng
cộng</t>
  </si>
  <si>
    <t>Đối tượng chiết khấu (nếu có):</t>
  </si>
  <si>
    <t>Giám đốc</t>
  </si>
  <si>
    <t>Khách hàng thân thiết, trường mầm non và các đại lý nhập số lượng lớn.</t>
  </si>
  <si>
    <t>Bán chịu cho khách hàng sau:</t>
  </si>
  <si>
    <t>Trường mầm non, trung tâm giáo dục và đối tác đại lý lâu năm.</t>
  </si>
  <si>
    <t>Lý do bán chịu:</t>
  </si>
  <si>
    <t>Giữ chân khách hàng B2B, kích thích đơn hàng lớn và tăng cạnh tranh.</t>
  </si>
  <si>
    <t>Quản lý</t>
  </si>
  <si>
    <t>Nhân viên bán hàng Marketing</t>
  </si>
  <si>
    <t>Nhân viên bán hàng 1</t>
  </si>
  <si>
    <t>ƯỚC TÍNH DOANH THU</t>
  </si>
  <si>
    <t>Doanh số dự kiến tháng =&gt; năm</t>
  </si>
  <si>
    <t>Nhân viên bán hàng 2</t>
  </si>
  <si>
    <t>Nhân viên sản xuất 1</t>
  </si>
  <si>
    <t>ƯỚC TÍNH CHI PHÍ GIÁ VỐN</t>
  </si>
  <si>
    <t>Nhân viên sản xuất 2</t>
  </si>
  <si>
    <t>Tháng</t>
  </si>
  <si>
    <t>Tổng</t>
  </si>
  <si>
    <t>Tỷ lệ nộp:</t>
  </si>
  <si>
    <r>
      <rPr>
        <rFont val="Arial"/>
        <b/>
        <color theme="1"/>
        <sz val="11.0"/>
      </rPr>
      <t>Mức lương</t>
    </r>
    <r>
      <rPr>
        <rFont val="Arial"/>
        <color theme="1"/>
        <sz val="11.0"/>
      </rPr>
      <t xml:space="preserve"> tính BHXH, BHYT, BHTN xác định theo Quyết định 595/QĐ-BHXH ngày 14/4/2017</t>
    </r>
  </si>
  <si>
    <t>Tỷ lệ nộp BHXH, BHYT, BHTN xác định theo Luật BHXH năm 2014 và các văn bản điều chỉnh</t>
  </si>
  <si>
    <t>Link hướng dẫn</t>
  </si>
  <si>
    <t>Lương tối thiểu vùng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</si>
  <si>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</si>
  <si>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</si>
  <si>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</si>
  <si>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</si>
  <si>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</si>
  <si>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</si>
  <si>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</si>
  <si>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</si>
  <si>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</si>
  <si>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Công ty ở Thanh Hóa – Thuộc vùng II</t>
  </si>
  <si>
    <t>Tháng 10</t>
  </si>
  <si>
    <t>Tháng 11</t>
  </si>
  <si>
    <t>Tháng 12</t>
  </si>
  <si>
    <r>
      <rPr>
        <rFont val="Arial, sans-serif"/>
        <color rgb="FF1155CC"/>
        <sz val="11.0"/>
        <u/>
      </rPr>
      <t>https://ketoanthienung.net/muc-luong-toi-thieu-vung-nam-moi-nhat-hien-nay.htm</t>
    </r>
  </si>
  <si>
    <t>Chế độ bảo hiểm cho NLĐ</t>
  </si>
  <si>
    <t>BHXH: 876,000 ; BHYT:280,000; BHTN:80,000; KPCD:200,000</t>
  </si>
  <si>
    <r>
      <rPr>
        <rFont val="Arial, sans-serif"/>
        <color rgb="FF1155CC"/>
        <sz val="11.0"/>
        <u/>
      </rPr>
      <t>https://ketoanthienung.org/tin-tuc/quy-dinh-ve-ty-le-dong-bhxh-bhyt-bhtn-moi-nhat.htm</t>
    </r>
  </si>
  <si>
    <t>Chi phí</t>
  </si>
  <si>
    <t>TÀI SẢN CỐ ĐỊNH - KHẤU HAO</t>
  </si>
  <si>
    <t>Chi tiết</t>
  </si>
  <si>
    <t>Tổng trị giá</t>
  </si>
  <si>
    <t>Thời gian khấu hao (Năm)</t>
  </si>
  <si>
    <t>Mức khấu hao hàng năm</t>
  </si>
  <si>
    <t>Mức khấu hao hàng tháng</t>
  </si>
  <si>
    <t>Tên nhà cung cấp</t>
  </si>
  <si>
    <t>Link giá nhà cung cấp</t>
  </si>
  <si>
    <t>Bàn làm đồ chơi gỗ</t>
  </si>
  <si>
    <t>Nội thất Hòa Phát</t>
  </si>
  <si>
    <t>Giá tham khảo nhà cung cấp</t>
  </si>
  <si>
    <t>Phục vụ sản xuất/kinh doanh đồ chơi trẻ em</t>
  </si>
  <si>
    <t>Kệ trưng bày đồ chơi</t>
  </si>
  <si>
    <t>Kệ</t>
  </si>
  <si>
    <t>Doanh thu</t>
  </si>
  <si>
    <t>Tủ kính trưng bày sản phẩm</t>
  </si>
  <si>
    <t>Tủ</t>
  </si>
  <si>
    <t>Máy cưa lọng mini</t>
  </si>
  <si>
    <t>Máy</t>
  </si>
  <si>
    <t>Makita</t>
  </si>
  <si>
    <t>Máy cưa bàn mini</t>
  </si>
  <si>
    <t>Bosch</t>
  </si>
  <si>
    <t>Máy chà nhám gỗ</t>
  </si>
  <si>
    <t>Máy khoan cầm tay</t>
  </si>
  <si>
    <t>Máy mini</t>
  </si>
  <si>
    <t>Máy cắt laser mini</t>
  </si>
  <si>
    <t>GCC</t>
  </si>
  <si>
    <t>Máy in 3D tạo mẫu đồ chơi</t>
  </si>
  <si>
    <t>Creality</t>
  </si>
  <si>
    <t>Máy hút bụi xưởng</t>
  </si>
  <si>
    <t>Karcher</t>
  </si>
  <si>
    <t>Máy phun sơn mini</t>
  </si>
  <si>
    <t>Máy nén khí mini</t>
  </si>
  <si>
    <t>Pegasus</t>
  </si>
  <si>
    <t>Máy in tem nhãn sản phẩm</t>
  </si>
  <si>
    <t>Brother</t>
  </si>
  <si>
    <t>Máy tính quản lý bán hàng</t>
  </si>
  <si>
    <t>FPT Shop</t>
  </si>
  <si>
    <t>Máy POS bán hàng</t>
  </si>
  <si>
    <t>Sapo</t>
  </si>
  <si>
    <t>Camera cửa hàng/xưởng</t>
  </si>
  <si>
    <t>Hikvision</t>
  </si>
  <si>
    <t>Bàn đóng gói đồ chơi</t>
  </si>
  <si>
    <t>Giá treo/kệ dụng cụ linh kiện</t>
  </si>
  <si>
    <t>Tủ đựng nguyên vật liệu gỗ</t>
  </si>
  <si>
    <t>Tổng cộng (1)</t>
  </si>
  <si>
    <t>CÔNG CỤ DỤNG CỤ - PHÂN BỔ</t>
  </si>
  <si>
    <t>Thời gian phân bổ</t>
  </si>
  <si>
    <t>Mức phân bổ hàng năm</t>
  </si>
  <si>
    <t>Mức phân bổ hàng tháng</t>
  </si>
  <si>
    <t>Nhà cung cấp</t>
  </si>
  <si>
    <t>Link nhà cung cấp</t>
  </si>
  <si>
    <t>Bộ</t>
  </si>
  <si>
    <t>Shopee</t>
  </si>
  <si>
    <t>Xem giá</t>
  </si>
  <si>
    <t>Phục vụ hoạt động học chữ cho trẻ</t>
  </si>
  <si>
    <t>KẾ HOẠCH LỢI NHUẬN</t>
  </si>
  <si>
    <t>Phục vụ hoạt động lắp ghép, sáng tạo</t>
  </si>
  <si>
    <t>Đồ chơi xếp hình</t>
  </si>
  <si>
    <t>Hỗ trợ phát triển tư duy và khả năng quan sát</t>
  </si>
  <si>
    <t>Khoản mục</t>
  </si>
  <si>
    <t>Kids Plaza</t>
  </si>
  <si>
    <t>Đồ chơi vận động cho trẻ</t>
  </si>
  <si>
    <t>Tổng Doanh thu</t>
  </si>
  <si>
    <t>Websosanh</t>
  </si>
  <si>
    <t>Hỗ trợ trẻ tập đi và vận động</t>
  </si>
  <si>
    <t>Phục vụ hoạt động vui chơi, sáng tạo</t>
  </si>
  <si>
    <t>Rèn luyện sự khéo léo và tập trung</t>
  </si>
  <si>
    <t>Tiki</t>
  </si>
  <si>
    <t>Phát triển tư duy và khả năng phối hợp tay mắt</t>
  </si>
  <si>
    <t>Bộ lắp ghép hạt</t>
  </si>
  <si>
    <t>Hỗ trợ phát triển khả năng sáng tạo</t>
  </si>
  <si>
    <t>Phục vụ hoạt động vẽ và học tập</t>
  </si>
  <si>
    <t>Tổng cộng (2)</t>
  </si>
  <si>
    <t>Giá vốn hàng bán</t>
  </si>
  <si>
    <t>Tổng cộng (1+2)</t>
  </si>
  <si>
    <t>TSCD: có nguyên giá từ 30.000.000 đồng trở lên; thời gian sử dụng từ 1 năm trở lên.</t>
  </si>
  <si>
    <t>CCDC: công cụ, dụng cụ có nguyên giá nhỏ hơn 30.000.000 đồng.</t>
  </si>
  <si>
    <t>Giá trị theo hàng</t>
  </si>
  <si>
    <t>Khấu hao đối với TSCĐ: thời gian khấu hao tối thiểu và tối đa theo quy định của Nhà nước.</t>
  </si>
  <si>
    <t>Phân bổ đối với CCDC: thời gian phân bổ tối đa là 3 năm.</t>
  </si>
  <si>
    <t>Mức khấu hao/phân bổ hàng năm = Tổng trị giá / Thời gian.</t>
  </si>
  <si>
    <t>Chi phí sản xuất khác (cước, vận chuyển...)</t>
  </si>
  <si>
    <t>Lương lao động</t>
  </si>
  <si>
    <t>Mức khấu hao/phân bổ hàng tháng = Mức khấu hao/phân bổ hàng năm / 12 tháng.</t>
  </si>
  <si>
    <t>Chi phí bán hàng (MKT)</t>
  </si>
  <si>
    <t>Mặt bằng</t>
  </si>
  <si>
    <t>Khấu hao</t>
  </si>
  <si>
    <t>Chi phí quản lý (điện, nước, rác, wifi)</t>
  </si>
  <si>
    <t>Tổng chi phí</t>
  </si>
  <si>
    <t>NGUỒN VỐN KHỞI SỰ</t>
  </si>
  <si>
    <t>Nguồn vốn:</t>
  </si>
  <si>
    <t>Số tiền VND</t>
  </si>
  <si>
    <t>Số tiền</t>
  </si>
  <si>
    <t>Vốn cố định</t>
  </si>
  <si>
    <t>Góp từ các thành viên sáng lập</t>
  </si>
  <si>
    <t>Vốn chủ sở hữu</t>
  </si>
  <si>
    <t>Cải tạo &amp; Setup mặt phẳng</t>
  </si>
  <si>
    <t>193,000,000</t>
  </si>
  <si>
    <t>Máy móc thiết bị</t>
  </si>
  <si>
    <t>105,500,000</t>
  </si>
  <si>
    <t>Vốn lưu động (dùng cho 3 tháng)</t>
  </si>
  <si>
    <t>Nguyễn Thế Huy</t>
  </si>
  <si>
    <t>Tồn kho NVL và thành phẩm</t>
  </si>
  <si>
    <t>Nguồn khác (VD: đi vay)</t>
  </si>
  <si>
    <t>Hỗ trợ phần vốn đầu tư còn thiếu</t>
  </si>
  <si>
    <t>Lương</t>
  </si>
  <si>
    <t>Vay TPBank</t>
  </si>
  <si>
    <t>Vay ngắn hạn/hỗ trợ ưu đãi sinh viên (lãi suất thấp)</t>
  </si>
  <si>
    <t>Tiền thuê</t>
  </si>
  <si>
    <t>Vay người thân (gia đình)</t>
  </si>
  <si>
    <t>Vay không lãi để giảm áp lực tài chính tháng đầu</t>
  </si>
  <si>
    <t>Chi phí marketing</t>
  </si>
  <si>
    <t>497,900,000</t>
  </si>
  <si>
    <t>Tổng số lượng bán</t>
  </si>
  <si>
    <t>Tổng chi phí nhập hàng</t>
  </si>
  <si>
    <t>Tổng doanh 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</si>
</sst>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.0%"/>
  </numFmts>
  <fonts count="28">
    <font>
      <sz val="11.0"/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  <font>
      <b/>
      <sz val="11.0"/>
      <color theme="1"/>
      <name val="Google Sans Text"/>
    </font>
    <font>
      <sz val="13.0"/>
      <color theme="1"/>
      <name val="Times New Roman"/>
    </font>
    <font>
      <sz val="14.0"/>
      <color theme="1"/>
      <name val="Times New Roman"/>
    </font>
    <font>
      <u/>
      <sz val="11.0"/>
      <color rgb="FF0563C1"/>
      <name val="Arial"/>
    </font>
    <font>
      <sz val="11.0"/>
      <color rgb="FFFF0000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000FF"/>
      <name val="Arial"/>
    </font>
    <font>
      <b/>
      <sz val="11.0"/>
      <color rgb="FFFF0000"/>
      <name val="Arial"/>
    </font>
    <font>
      <u/>
      <sz val="11.0"/>
      <color rgb="FF1155CC"/>
      <name val="Arial"/>
    </font>
    <font>
      <sz val="11.0"/>
      <color rgb="FF1E4E79"/>
      <name val="Arial"/>
    </font>
    <font>
      <sz val="8.0"/>
      <color rgb="FF1E4E79"/>
      <name val="Arial"/>
    </font>
    <font>
      <b/>
      <color rgb="FF1E4E79"/>
      <name val="Arial"/>
    </font>
    <font>
      <sz val="8.0"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8.0"/>
      <color rgb="FFFF0000"/>
      <name val="Arial"/>
    </font>
    <font>
      <color rgb="FFC00000"/>
      <name val="Calibri"/>
      <scheme val="minor"/>
    </font>
    <font>
      <b/>
      <sz val="11.0"/>
      <color theme="1"/>
      <name val="Calibri"/>
    </font>
    <font>
      <sz val="11.0"/>
      <color theme="1"/>
      <name val="Times New Roman"/>
    </font>
    <font>
      <b/>
      <sz val="11.0"/>
      <color rgb="FF1E4E79"/>
      <name val="Arial"/>
    </font>
    <font>
      <b/>
      <color rgb="FFFF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79646"/>
        <bgColor rgb="FFF79646"/>
      </patternFill>
    </fill>
    <fill>
      <patternFill patternType="solid">
        <fgColor rgb="FFF3F3F3"/>
        <bgColor rgb="FFF3F3F3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FFF200"/>
        <bgColor rgb="FFFFF200"/>
      </patternFill>
    </fill>
    <fill>
      <patternFill patternType="solid">
        <fgColor rgb="FFA9D18E"/>
        <bgColor rgb="FFA9D18E"/>
      </patternFill>
    </fill>
    <fill>
      <patternFill patternType="solid">
        <fgColor rgb="FF5B9BD5"/>
        <bgColor rgb="FF5B9BD5"/>
      </patternFill>
    </fill>
    <fill>
      <patternFill patternType="solid">
        <fgColor rgb="FF6FA8DC"/>
        <bgColor rgb="FF6FA8DC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FF9900"/>
        <bgColor rgb="FFFF9900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4C7C5"/>
      </left>
      <top style="thin">
        <color rgb="FFC4C7C5"/>
      </top>
      <bottom style="thin">
        <color rgb="FF000000"/>
      </bottom>
    </border>
    <border>
      <right style="thin">
        <color rgb="FF000000"/>
      </right>
      <top style="thin">
        <color rgb="FFC4C7C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C4C7C5"/>
      </top>
      <bottom style="thin">
        <color rgb="FF000000"/>
      </bottom>
    </border>
    <border>
      <left style="thin">
        <color rgb="FFC4C7C5"/>
      </left>
      <top style="thin">
        <color rgb="FFC4C7C5"/>
      </top>
    </border>
    <border>
      <right style="thin">
        <color rgb="FF000000"/>
      </right>
      <top style="thin">
        <color rgb="FFC4C7C5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2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vertical="bottom"/>
    </xf>
    <xf borderId="3" fillId="0" fontId="4" numFmtId="0" xfId="0" applyBorder="1" applyFont="1"/>
    <xf borderId="0" fillId="2" fontId="2" numFmtId="0" xfId="0" applyAlignment="1" applyFont="1">
      <alignment horizontal="center" vertical="bottom"/>
    </xf>
    <xf borderId="2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4" fillId="0" fontId="3" numFmtId="0" xfId="0" applyAlignment="1" applyBorder="1" applyFont="1">
      <alignment vertical="bottom"/>
    </xf>
    <xf borderId="5" fillId="4" fontId="2" numFmtId="0" xfId="0" applyAlignment="1" applyBorder="1" applyFill="1" applyFont="1">
      <alignment horizontal="center"/>
    </xf>
    <xf borderId="6" fillId="5" fontId="2" numFmtId="0" xfId="0" applyAlignment="1" applyBorder="1" applyFill="1" applyFont="1">
      <alignment horizontal="center" vertical="bottom"/>
    </xf>
    <xf borderId="5" fillId="4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shrinkToFit="0" vertical="bottom" wrapText="1"/>
    </xf>
    <xf borderId="5" fillId="4" fontId="2" numFmtId="0" xfId="0" applyAlignment="1" applyBorder="1" applyFont="1">
      <alignment horizontal="center" shrinkToFit="0" wrapText="1"/>
    </xf>
    <xf borderId="7" fillId="5" fontId="2" numFmtId="0" xfId="0" applyAlignment="1" applyBorder="1" applyFont="1">
      <alignment horizontal="center" vertical="bottom"/>
    </xf>
    <xf borderId="7" fillId="4" fontId="2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8" fillId="2" fontId="2" numFmtId="0" xfId="0" applyAlignment="1" applyBorder="1" applyFont="1">
      <alignment horizontal="center" shrinkToFit="0" wrapText="1"/>
    </xf>
    <xf borderId="7" fillId="6" fontId="2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9" fillId="4" fontId="2" numFmtId="0" xfId="0" applyAlignment="1" applyBorder="1" applyFont="1">
      <alignment horizontal="center" shrinkToFit="0" vertical="bottom" wrapText="1"/>
    </xf>
    <xf borderId="5" fillId="0" fontId="3" numFmtId="49" xfId="0" applyAlignment="1" applyBorder="1" applyFont="1" applyNumberFormat="1">
      <alignment shrinkToFit="0" vertical="bottom" wrapText="1"/>
    </xf>
    <xf borderId="5" fillId="0" fontId="3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vertical="bottom"/>
    </xf>
    <xf borderId="0" fillId="3" fontId="6" numFmtId="3" xfId="0" applyAlignment="1" applyFont="1" applyNumberFormat="1">
      <alignment horizontal="right" vertical="bottom"/>
    </xf>
    <xf borderId="7" fillId="3" fontId="3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7" fillId="3" fontId="7" numFmtId="0" xfId="0" applyAlignment="1" applyBorder="1" applyFont="1">
      <alignment vertical="bottom"/>
    </xf>
    <xf borderId="10" fillId="0" fontId="3" numFmtId="164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11" fillId="3" fontId="3" numFmtId="0" xfId="0" applyAlignment="1" applyBorder="1" applyFont="1">
      <alignment vertical="bottom"/>
    </xf>
    <xf borderId="12" fillId="0" fontId="3" numFmtId="0" xfId="0" applyAlignment="1" applyBorder="1" applyFont="1">
      <alignment horizontal="right" vertical="bottom"/>
    </xf>
    <xf borderId="5" fillId="0" fontId="8" numFmtId="0" xfId="0" applyAlignment="1" applyBorder="1" applyFont="1">
      <alignment vertical="bottom"/>
    </xf>
    <xf borderId="10" fillId="0" fontId="5" numFmtId="0" xfId="0" applyAlignment="1" applyBorder="1" applyFont="1">
      <alignment horizontal="right" vertical="bottom"/>
    </xf>
    <xf borderId="7" fillId="0" fontId="6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10" fillId="0" fontId="5" numFmtId="164" xfId="0" applyAlignment="1" applyBorder="1" applyFont="1" applyNumberFormat="1">
      <alignment vertical="bottom"/>
    </xf>
    <xf borderId="13" fillId="0" fontId="9" numFmtId="10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1"/>
    </xf>
    <xf borderId="10" fillId="0" fontId="5" numFmtId="164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horizontal="right" vertical="bottom"/>
    </xf>
    <xf borderId="5" fillId="0" fontId="3" numFmtId="49" xfId="0" applyAlignment="1" applyBorder="1" applyFont="1" applyNumberFormat="1">
      <alignment vertical="bottom"/>
    </xf>
    <xf borderId="14" fillId="0" fontId="5" numFmtId="0" xfId="0" applyAlignment="1" applyBorder="1" applyFont="1">
      <alignment shrinkToFit="0" vertical="bottom" wrapText="1"/>
    </xf>
    <xf borderId="15" fillId="0" fontId="4" numFmtId="0" xfId="0" applyBorder="1" applyFont="1"/>
    <xf borderId="5" fillId="3" fontId="10" numFmtId="164" xfId="0" applyAlignment="1" applyBorder="1" applyFont="1" applyNumberFormat="1">
      <alignment vertical="bottom"/>
    </xf>
    <xf borderId="16" fillId="0" fontId="3" numFmtId="0" xfId="0" applyAlignment="1" applyBorder="1" applyFont="1">
      <alignment horizontal="right" vertical="bottom"/>
    </xf>
    <xf borderId="0" fillId="7" fontId="3" numFmtId="0" xfId="0" applyAlignment="1" applyFill="1" applyFont="1">
      <alignment vertical="bottom"/>
    </xf>
    <xf borderId="5" fillId="3" fontId="3" numFmtId="3" xfId="0" applyAlignment="1" applyBorder="1" applyFont="1" applyNumberFormat="1">
      <alignment horizontal="right" vertical="bottom"/>
    </xf>
    <xf borderId="16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6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18" fillId="0" fontId="4" numFmtId="0" xfId="0" applyBorder="1" applyFont="1"/>
    <xf borderId="0" fillId="0" fontId="2" numFmtId="0" xfId="0" applyAlignment="1" applyFont="1">
      <alignment vertical="bottom"/>
    </xf>
    <xf borderId="6" fillId="0" fontId="4" numFmtId="0" xfId="0" applyBorder="1" applyFont="1"/>
    <xf borderId="7" fillId="0" fontId="4" numFmtId="0" xfId="0" applyBorder="1" applyFont="1"/>
    <xf borderId="5" fillId="3" fontId="11" numFmtId="0" xfId="0" applyAlignment="1" applyBorder="1" applyFont="1">
      <alignment vertical="bottom"/>
    </xf>
    <xf borderId="19" fillId="0" fontId="5" numFmtId="0" xfId="0" applyAlignment="1" applyBorder="1" applyFont="1">
      <alignment shrinkToFit="0" vertical="bottom" wrapText="1"/>
    </xf>
    <xf borderId="20" fillId="0" fontId="4" numFmtId="0" xfId="0" applyBorder="1" applyFont="1"/>
    <xf borderId="0" fillId="0" fontId="6" numFmtId="164" xfId="0" applyAlignment="1" applyFont="1" applyNumberFormat="1">
      <alignment horizontal="right" vertical="bottom"/>
    </xf>
    <xf borderId="1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13" fillId="0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0" fillId="0" fontId="6" numFmtId="3" xfId="0" applyAlignment="1" applyFont="1" applyNumberFormat="1">
      <alignment horizontal="right" vertical="bottom"/>
    </xf>
    <xf borderId="5" fillId="4" fontId="2" numFmtId="164" xfId="0" applyAlignment="1" applyBorder="1" applyFont="1" applyNumberFormat="1">
      <alignment horizontal="right" vertical="bottom"/>
    </xf>
    <xf borderId="9" fillId="4" fontId="3" numFmtId="0" xfId="0" applyAlignment="1" applyBorder="1" applyFont="1">
      <alignment vertical="bottom"/>
    </xf>
    <xf borderId="5" fillId="8" fontId="3" numFmtId="0" xfId="0" applyAlignment="1" applyBorder="1" applyFill="1" applyFont="1">
      <alignment vertical="bottom"/>
    </xf>
    <xf borderId="0" fillId="0" fontId="6" numFmtId="3" xfId="0" applyAlignment="1" applyFont="1" applyNumberFormat="1">
      <alignment horizontal="right" shrinkToFit="0" vertical="bottom" wrapText="1"/>
    </xf>
    <xf borderId="5" fillId="4" fontId="3" numFmtId="0" xfId="0" applyAlignment="1" applyBorder="1" applyFont="1">
      <alignment vertical="bottom"/>
    </xf>
    <xf borderId="0" fillId="0" fontId="3" numFmtId="0" xfId="0" applyFont="1"/>
    <xf borderId="5" fillId="9" fontId="2" numFmtId="0" xfId="0" applyAlignment="1" applyBorder="1" applyFill="1" applyFont="1">
      <alignment horizontal="center" vertical="bottom"/>
    </xf>
    <xf borderId="5" fillId="3" fontId="1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0" fillId="0" fontId="3" numFmtId="9" xfId="0" applyAlignment="1" applyFont="1" applyNumberFormat="1">
      <alignment vertical="bottom"/>
    </xf>
    <xf borderId="13" fillId="4" fontId="2" numFmtId="0" xfId="0" applyAlignment="1" applyBorder="1" applyFont="1">
      <alignment horizontal="center" vertical="bottom"/>
    </xf>
    <xf borderId="21" fillId="0" fontId="4" numFmtId="0" xfId="0" applyBorder="1" applyFont="1"/>
    <xf borderId="22" fillId="0" fontId="4" numFmtId="0" xfId="0" applyBorder="1" applyFont="1"/>
    <xf borderId="5" fillId="2" fontId="2" numFmtId="0" xfId="0" applyAlignment="1" applyBorder="1" applyFont="1">
      <alignment horizontal="center" shrinkToFit="0" wrapText="1"/>
    </xf>
    <xf borderId="5" fillId="2" fontId="2" numFmtId="0" xfId="0" applyAlignment="1" applyBorder="1" applyFont="1">
      <alignment horizontal="center"/>
    </xf>
    <xf borderId="5" fillId="10" fontId="2" numFmtId="0" xfId="0" applyAlignment="1" applyBorder="1" applyFill="1" applyFont="1">
      <alignment horizontal="center" shrinkToFit="0" wrapText="1"/>
    </xf>
    <xf borderId="5" fillId="0" fontId="2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5" fillId="2" fontId="3" numFmtId="0" xfId="0" applyAlignment="1" applyBorder="1" applyFont="1">
      <alignment vertical="bottom"/>
    </xf>
    <xf borderId="5" fillId="4" fontId="2" numFmtId="0" xfId="0" applyAlignment="1" applyBorder="1" applyFont="1">
      <alignment horizontal="right" vertical="bottom"/>
    </xf>
    <xf borderId="23" fillId="4" fontId="2" numFmtId="0" xfId="0" applyAlignment="1" applyBorder="1" applyFont="1">
      <alignment horizontal="center" shrinkToFit="0" wrapText="1"/>
    </xf>
    <xf borderId="24" fillId="0" fontId="4" numFmtId="0" xfId="0" applyBorder="1" applyFont="1"/>
    <xf borderId="5" fillId="2" fontId="13" numFmtId="164" xfId="0" applyAlignment="1" applyBorder="1" applyFont="1" applyNumberFormat="1">
      <alignment horizontal="right" vertical="bottom"/>
    </xf>
    <xf borderId="17" fillId="0" fontId="4" numFmtId="0" xfId="0" applyBorder="1" applyFont="1"/>
    <xf borderId="13" fillId="4" fontId="2" numFmtId="0" xfId="0" applyAlignment="1" applyBorder="1" applyFont="1">
      <alignment horizontal="center"/>
    </xf>
    <xf borderId="5" fillId="5" fontId="2" numFmtId="0" xfId="0" applyAlignment="1" applyBorder="1" applyFont="1">
      <alignment vertical="bottom"/>
    </xf>
    <xf borderId="16" fillId="4" fontId="2" numFmtId="0" xfId="0" applyAlignment="1" applyBorder="1" applyFont="1">
      <alignment horizontal="center"/>
    </xf>
    <xf borderId="23" fillId="4" fontId="2" numFmtId="0" xfId="0" applyAlignment="1" applyBorder="1" applyFont="1">
      <alignment horizontal="center" vertical="bottom"/>
    </xf>
    <xf borderId="5" fillId="5" fontId="3" numFmtId="165" xfId="0" applyAlignment="1" applyBorder="1" applyFont="1" applyNumberFormat="1">
      <alignment horizontal="right" vertical="bottom"/>
    </xf>
    <xf borderId="5" fillId="10" fontId="3" numFmtId="165" xfId="0" applyAlignment="1" applyBorder="1" applyFont="1" applyNumberFormat="1">
      <alignment horizontal="right" vertical="bottom"/>
    </xf>
    <xf borderId="21" fillId="4" fontId="2" numFmtId="0" xfId="0" applyAlignment="1" applyBorder="1" applyFont="1">
      <alignment horizontal="center" vertical="bottom"/>
    </xf>
    <xf borderId="5" fillId="5" fontId="3" numFmtId="165" xfId="0" applyAlignment="1" applyBorder="1" applyFont="1" applyNumberFormat="1">
      <alignment vertical="bottom"/>
    </xf>
    <xf borderId="16" fillId="4" fontId="2" numFmtId="0" xfId="0" applyAlignment="1" applyBorder="1" applyFont="1">
      <alignment horizontal="center" vertical="bottom"/>
    </xf>
    <xf borderId="12" fillId="0" fontId="4" numFmtId="0" xfId="0" applyBorder="1" applyFont="1"/>
    <xf borderId="4" fillId="0" fontId="4" numFmtId="0" xfId="0" applyBorder="1" applyFont="1"/>
    <xf borderId="5" fillId="0" fontId="9" numFmtId="0" xfId="0" applyAlignment="1" applyBorder="1" applyFont="1">
      <alignment vertical="bottom"/>
    </xf>
    <xf borderId="5" fillId="3" fontId="9" numFmtId="3" xfId="0" applyAlignment="1" applyBorder="1" applyFont="1" applyNumberFormat="1">
      <alignment horizontal="center" vertical="bottom"/>
    </xf>
    <xf borderId="5" fillId="3" fontId="9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6" fillId="0" fontId="3" numFmtId="0" xfId="0" applyAlignment="1" applyBorder="1" applyFont="1">
      <alignment horizontal="center"/>
    </xf>
    <xf borderId="25" fillId="0" fontId="3" numFmtId="0" xfId="0" applyAlignment="1" applyBorder="1" applyFont="1">
      <alignment horizontal="center" vertical="bottom"/>
    </xf>
    <xf borderId="16" fillId="0" fontId="15" numFmtId="0" xfId="0" applyBorder="1" applyFont="1"/>
    <xf borderId="25" fillId="3" fontId="15" numFmtId="0" xfId="0" applyAlignment="1" applyBorder="1" applyFont="1">
      <alignment vertical="bottom"/>
    </xf>
    <xf borderId="13" fillId="0" fontId="15" numFmtId="0" xfId="0" applyBorder="1" applyFont="1"/>
    <xf borderId="4" fillId="0" fontId="15" numFmtId="0" xfId="0" applyAlignment="1" applyBorder="1" applyFont="1">
      <alignment vertical="bottom"/>
    </xf>
    <xf borderId="5" fillId="0" fontId="16" numFmtId="164" xfId="0" applyBorder="1" applyFont="1" applyNumberFormat="1"/>
    <xf borderId="5" fillId="0" fontId="3" numFmtId="3" xfId="0" applyAlignment="1" applyBorder="1" applyFont="1" applyNumberFormat="1">
      <alignment horizontal="right" vertical="bottom"/>
    </xf>
    <xf borderId="5" fillId="0" fontId="17" numFmtId="164" xfId="0" applyAlignment="1" applyBorder="1" applyFont="1" applyNumberFormat="1">
      <alignment horizontal="right"/>
    </xf>
    <xf borderId="25" fillId="0" fontId="4" numFmtId="0" xfId="0" applyBorder="1" applyFont="1"/>
    <xf borderId="13" fillId="0" fontId="3" numFmtId="0" xfId="0" applyBorder="1" applyFont="1"/>
    <xf borderId="5" fillId="0" fontId="18" numFmtId="164" xfId="0" applyBorder="1" applyFont="1" applyNumberFormat="1"/>
    <xf borderId="4" fillId="0" fontId="9" numFmtId="0" xfId="0" applyAlignment="1" applyBorder="1" applyFont="1">
      <alignment vertical="bottom"/>
    </xf>
    <xf borderId="1" fillId="11" fontId="19" numFmtId="0" xfId="0" applyAlignment="1" applyBorder="1" applyFill="1" applyFont="1">
      <alignment horizontal="center"/>
    </xf>
    <xf borderId="0" fillId="0" fontId="20" numFmtId="0" xfId="0" applyAlignment="1" applyFont="1">
      <alignment horizontal="right"/>
    </xf>
    <xf borderId="26" fillId="12" fontId="19" numFmtId="0" xfId="0" applyAlignment="1" applyBorder="1" applyFill="1" applyFont="1">
      <alignment horizontal="center" shrinkToFit="0" vertical="center" wrapText="1"/>
    </xf>
    <xf borderId="26" fillId="0" fontId="21" numFmtId="0" xfId="0" applyAlignment="1" applyBorder="1" applyFont="1">
      <alignment horizontal="left" shrinkToFit="0" vertical="center" wrapText="1"/>
    </xf>
    <xf borderId="5" fillId="0" fontId="3" numFmtId="164" xfId="0" applyBorder="1" applyFont="1" applyNumberFormat="1"/>
    <xf borderId="26" fillId="0" fontId="21" numFmtId="0" xfId="0" applyAlignment="1" applyBorder="1" applyFont="1">
      <alignment horizontal="center"/>
    </xf>
    <xf borderId="26" fillId="0" fontId="21" numFmtId="3" xfId="0" applyAlignment="1" applyBorder="1" applyFont="1" applyNumberFormat="1">
      <alignment horizontal="left" shrinkToFit="0" vertical="center" wrapText="1"/>
    </xf>
    <xf borderId="13" fillId="0" fontId="9" numFmtId="0" xfId="0" applyBorder="1" applyFont="1"/>
    <xf borderId="16" fillId="3" fontId="3" numFmtId="0" xfId="0" applyAlignment="1" applyBorder="1" applyFont="1">
      <alignment vertical="bottom"/>
    </xf>
    <xf borderId="5" fillId="0" fontId="22" numFmtId="164" xfId="0" applyAlignment="1" applyBorder="1" applyFont="1" applyNumberFormat="1">
      <alignment horizontal="right"/>
    </xf>
    <xf borderId="27" fillId="12" fontId="19" numFmtId="0" xfId="0" applyAlignment="1" applyBorder="1" applyFont="1">
      <alignment horizontal="left" shrinkToFit="0" vertical="center" wrapText="1"/>
    </xf>
    <xf borderId="28" fillId="0" fontId="4" numFmtId="0" xfId="0" applyBorder="1" applyFont="1"/>
    <xf borderId="29" fillId="0" fontId="4" numFmtId="0" xfId="0" applyBorder="1" applyFont="1"/>
    <xf borderId="26" fillId="12" fontId="19" numFmtId="3" xfId="0" applyAlignment="1" applyBorder="1" applyFont="1" applyNumberFormat="1">
      <alignment horizontal="left" shrinkToFit="0" vertical="center" wrapText="1"/>
    </xf>
    <xf borderId="26" fillId="12" fontId="19" numFmtId="0" xfId="0" applyAlignment="1" applyBorder="1" applyFont="1">
      <alignment horizontal="left" shrinkToFit="0" vertical="center" wrapText="1"/>
    </xf>
    <xf borderId="26" fillId="0" fontId="21" numFmtId="0" xfId="0" applyAlignment="1" applyBorder="1" applyFont="1">
      <alignment horizontal="left" readingOrder="0" shrinkToFit="0" vertical="center" wrapText="1"/>
    </xf>
    <xf borderId="5" fillId="13" fontId="3" numFmtId="0" xfId="0" applyAlignment="1" applyBorder="1" applyFill="1" applyFont="1">
      <alignment vertical="bottom"/>
    </xf>
    <xf borderId="0" fillId="13" fontId="20" numFmtId="3" xfId="0" applyAlignment="1" applyFont="1" applyNumberFormat="1">
      <alignment horizontal="right" vertical="bottom"/>
    </xf>
    <xf borderId="0" fillId="14" fontId="20" numFmtId="3" xfId="0" applyAlignment="1" applyFill="1" applyFont="1" applyNumberFormat="1">
      <alignment horizontal="right" vertical="bottom"/>
    </xf>
    <xf borderId="0" fillId="13" fontId="3" numFmtId="3" xfId="0" applyAlignment="1" applyFont="1" applyNumberFormat="1">
      <alignment vertical="bottom"/>
    </xf>
    <xf borderId="5" fillId="13" fontId="3" numFmtId="3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/>
    </xf>
    <xf borderId="27" fillId="15" fontId="19" numFmtId="0" xfId="0" applyAlignment="1" applyBorder="1" applyFill="1" applyFont="1">
      <alignment horizontal="left" shrinkToFit="0" vertical="center" wrapText="1"/>
    </xf>
    <xf borderId="26" fillId="15" fontId="19" numFmtId="3" xfId="0" applyAlignment="1" applyBorder="1" applyFont="1" applyNumberFormat="1">
      <alignment horizontal="left" shrinkToFit="0" vertical="center" wrapText="1"/>
    </xf>
    <xf borderId="26" fillId="15" fontId="19" numFmtId="0" xfId="0" applyAlignment="1" applyBorder="1" applyFont="1">
      <alignment horizontal="left" shrinkToFit="0" vertical="center" wrapText="1"/>
    </xf>
    <xf borderId="27" fillId="0" fontId="23" numFmtId="0" xfId="0" applyAlignment="1" applyBorder="1" applyFont="1">
      <alignment shrinkToFit="0" wrapText="1"/>
    </xf>
    <xf borderId="5" fillId="3" fontId="3" numFmtId="164" xfId="0" applyAlignment="1" applyBorder="1" applyFont="1" applyNumberFormat="1">
      <alignment horizontal="right" vertical="bottom"/>
    </xf>
    <xf borderId="5" fillId="0" fontId="20" numFmtId="0" xfId="0" applyAlignment="1" applyBorder="1" applyFont="1">
      <alignment vertical="bottom"/>
    </xf>
    <xf borderId="5" fillId="3" fontId="20" numFmtId="3" xfId="0" applyAlignment="1" applyBorder="1" applyFont="1" applyNumberFormat="1">
      <alignment horizontal="right" vertical="bottom"/>
    </xf>
    <xf borderId="5" fillId="0" fontId="20" numFmtId="3" xfId="0" applyAlignment="1" applyBorder="1" applyFont="1" applyNumberFormat="1">
      <alignment horizontal="right" vertical="bottom"/>
    </xf>
    <xf borderId="5" fillId="0" fontId="20" numFmtId="0" xfId="0" applyAlignment="1" applyBorder="1" applyFont="1">
      <alignment horizontal="right" vertical="bottom"/>
    </xf>
    <xf borderId="5" fillId="0" fontId="20" numFmtId="3" xfId="0" applyAlignment="1" applyBorder="1" applyFont="1" applyNumberFormat="1">
      <alignment horizontal="center" vertical="bottom"/>
    </xf>
    <xf borderId="27" fillId="0" fontId="20" numFmtId="0" xfId="0" applyAlignment="1" applyBorder="1" applyFont="1">
      <alignment shrinkToFit="0" wrapText="1"/>
    </xf>
    <xf borderId="5" fillId="16" fontId="3" numFmtId="0" xfId="0" applyAlignment="1" applyBorder="1" applyFill="1" applyFont="1">
      <alignment vertical="bottom"/>
    </xf>
    <xf borderId="5" fillId="17" fontId="24" numFmtId="3" xfId="0" applyAlignment="1" applyBorder="1" applyFill="1" applyFont="1" applyNumberFormat="1">
      <alignment horizontal="right" vertical="bottom"/>
    </xf>
    <xf borderId="5" fillId="16" fontId="3" numFmtId="3" xfId="0" applyAlignment="1" applyBorder="1" applyFont="1" applyNumberFormat="1">
      <alignment horizontal="right" vertical="bottom"/>
    </xf>
    <xf borderId="5" fillId="2" fontId="2" numFmtId="0" xfId="0" applyAlignment="1" applyBorder="1" applyFont="1">
      <alignment vertical="bottom"/>
    </xf>
    <xf borderId="5" fillId="5" fontId="3" numFmtId="3" xfId="0" applyAlignment="1" applyBorder="1" applyFont="1" applyNumberFormat="1">
      <alignment vertical="bottom"/>
    </xf>
    <xf borderId="5" fillId="5" fontId="25" numFmtId="0" xfId="0" applyAlignment="1" applyBorder="1" applyFont="1">
      <alignment vertical="bottom"/>
    </xf>
    <xf borderId="5" fillId="5" fontId="3" numFmtId="3" xfId="0" applyAlignment="1" applyBorder="1" applyFont="1" applyNumberFormat="1">
      <alignment horizontal="right" vertical="bottom"/>
    </xf>
    <xf borderId="5" fillId="5" fontId="3" numFmtId="0" xfId="0" applyAlignment="1" applyBorder="1" applyFont="1">
      <alignment vertical="bottom"/>
    </xf>
    <xf borderId="5" fillId="5" fontId="20" numFmtId="0" xfId="0" applyAlignment="1" applyBorder="1" applyFont="1">
      <alignment vertical="bottom"/>
    </xf>
    <xf borderId="5" fillId="2" fontId="3" numFmtId="3" xfId="0" applyAlignment="1" applyBorder="1" applyFont="1" applyNumberFormat="1">
      <alignment vertical="bottom"/>
    </xf>
    <xf borderId="5" fillId="2" fontId="3" numFmtId="3" xfId="0" applyAlignment="1" applyBorder="1" applyFont="1" applyNumberFormat="1">
      <alignment horizontal="right" vertical="bottom"/>
    </xf>
    <xf borderId="25" fillId="4" fontId="3" numFmtId="0" xfId="0" applyAlignment="1" applyBorder="1" applyFont="1">
      <alignment vertical="bottom"/>
    </xf>
    <xf borderId="21" fillId="4" fontId="26" numFmtId="0" xfId="0" applyAlignment="1" applyBorder="1" applyFont="1">
      <alignment vertical="bottom"/>
    </xf>
    <xf borderId="5" fillId="4" fontId="3" numFmtId="0" xfId="0" applyAlignment="1" applyBorder="1" applyFont="1">
      <alignment horizontal="right" vertical="bottom"/>
    </xf>
    <xf borderId="5" fillId="4" fontId="3" numFmtId="3" xfId="0" applyAlignment="1" applyBorder="1" applyFont="1" applyNumberFormat="1">
      <alignment horizontal="right" vertical="bottom"/>
    </xf>
    <xf borderId="21" fillId="4" fontId="13" numFmtId="0" xfId="0" applyAlignment="1" applyBorder="1" applyFont="1">
      <alignment vertical="bottom"/>
    </xf>
    <xf borderId="16" fillId="4" fontId="3" numFmtId="0" xfId="0" applyBorder="1" applyFont="1"/>
    <xf borderId="13" fillId="4" fontId="26" numFmtId="0" xfId="0" applyBorder="1" applyFont="1"/>
    <xf borderId="5" fillId="4" fontId="17" numFmtId="164" xfId="0" applyAlignment="1" applyBorder="1" applyFont="1" applyNumberFormat="1">
      <alignment horizontal="right"/>
    </xf>
    <xf borderId="13" fillId="4" fontId="13" numFmtId="0" xfId="0" applyBorder="1" applyFont="1"/>
    <xf borderId="5" fillId="4" fontId="27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2.png"/><Relationship Id="rId10" Type="http://schemas.openxmlformats.org/officeDocument/2006/relationships/image" Target="../media/image8.png"/><Relationship Id="rId9" Type="http://schemas.openxmlformats.org/officeDocument/2006/relationships/image" Target="../media/image1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11.png"/><Relationship Id="rId8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7</xdr:row>
      <xdr:rowOff>85725</xdr:rowOff>
    </xdr:from>
    <xdr:ext cx="2171700" cy="21717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352425</xdr:colOff>
      <xdr:row>8</xdr:row>
      <xdr:rowOff>9525</xdr:rowOff>
    </xdr:from>
    <xdr:ext cx="2171700" cy="2171700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9</xdr:row>
      <xdr:rowOff>342900</xdr:rowOff>
    </xdr:from>
    <xdr:ext cx="2171700" cy="1438275"/>
    <xdr:pic>
      <xdr:nvPicPr>
        <xdr:cNvPr id="0" name="image7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10</xdr:row>
      <xdr:rowOff>57150</xdr:rowOff>
    </xdr:from>
    <xdr:ext cx="2171700" cy="2162175"/>
    <xdr:pic>
      <xdr:nvPicPr>
        <xdr:cNvPr id="0" name="image2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11</xdr:row>
      <xdr:rowOff>9525</xdr:rowOff>
    </xdr:from>
    <xdr:ext cx="2171700" cy="2076450"/>
    <xdr:pic>
      <xdr:nvPicPr>
        <xdr:cNvPr id="0" name="image4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12</xdr:row>
      <xdr:rowOff>495300</xdr:rowOff>
    </xdr:from>
    <xdr:ext cx="2171700" cy="1447800"/>
    <xdr:pic>
      <xdr:nvPicPr>
        <xdr:cNvPr id="0" name="image5.png" title="Hình ảnh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13</xdr:row>
      <xdr:rowOff>142875</xdr:rowOff>
    </xdr:from>
    <xdr:ext cx="2171700" cy="2171700"/>
    <xdr:pic>
      <xdr:nvPicPr>
        <xdr:cNvPr id="0" name="image11.png" title="Hình ảnh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14</xdr:row>
      <xdr:rowOff>285750</xdr:rowOff>
    </xdr:from>
    <xdr:ext cx="2171700" cy="2171700"/>
    <xdr:pic>
      <xdr:nvPicPr>
        <xdr:cNvPr id="0" name="image10.png" title="Hình ảnh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15</xdr:row>
      <xdr:rowOff>114300</xdr:rowOff>
    </xdr:from>
    <xdr:ext cx="2171700" cy="1733550"/>
    <xdr:pic>
      <xdr:nvPicPr>
        <xdr:cNvPr id="0" name="image1.png" title="Hình ảnh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16</xdr:row>
      <xdr:rowOff>314325</xdr:rowOff>
    </xdr:from>
    <xdr:ext cx="2171700" cy="1733550"/>
    <xdr:pic>
      <xdr:nvPicPr>
        <xdr:cNvPr id="0" name="image8.png" title="Hình ảnh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3</xdr:row>
      <xdr:rowOff>28575</xdr:rowOff>
    </xdr:from>
    <xdr:ext cx="5105400" cy="2705100"/>
    <xdr:pic>
      <xdr:nvPicPr>
        <xdr:cNvPr id="0" name="image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smarthomekn.vn/bang-ve-dien-tu-thong-minh-tu-xoa-cho-be-12-inch-da-mau" TargetMode="External"/><Relationship Id="rId11" Type="http://schemas.openxmlformats.org/officeDocument/2006/relationships/hyperlink" Target="https://kenhchinhhang.vn/product/bo-mo-hinh-lego-lau-dai-da-swan-moyu-92041" TargetMode="External"/><Relationship Id="rId10" Type="http://schemas.openxmlformats.org/officeDocument/2006/relationships/hyperlink" Target="https://xedientiengiang.com/xe-tap-di-go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lazada.vn/tag/do-choi-cau-ca/?srsltid=AfmBOorgjqy90nNC_Ohn2tudqKJjdI0ryEBCbDstG0eJiitXYwU1p-iI" TargetMode="External"/><Relationship Id="rId12" Type="http://schemas.openxmlformats.org/officeDocument/2006/relationships/hyperlink" Target="https://cosymart.vn/lego-lau-dai-cong-chua-hong-596-pics" TargetMode="External"/><Relationship Id="rId1" Type="http://schemas.openxmlformats.org/officeDocument/2006/relationships/hyperlink" Target="https://linhanhkids.com/san-pham/bang-chu-cai-noi-tieng-viet-thong-minh/" TargetMode="External"/><Relationship Id="rId2" Type="http://schemas.openxmlformats.org/officeDocument/2006/relationships/hyperlink" Target="https://shopee.vn/search?keyword=b%E1%BA%A3ng+ch%E1%BB%AF+c%C3%A1i+gh%C3%A9p+nam+ch%C3%A2m+cho+b%C3%A9&amp;utm_source=chatgpt.com" TargetMode="External"/><Relationship Id="rId3" Type="http://schemas.openxmlformats.org/officeDocument/2006/relationships/hyperlink" Target="https://kenhchinhhang.vn/product/bo-mo-hinh-lego-van-ly-truong-thanh-hung-vi-moyu-92007" TargetMode="External"/><Relationship Id="rId4" Type="http://schemas.openxmlformats.org/officeDocument/2006/relationships/hyperlink" Target="https://shopee.vn/search?keyword=b%E1%BB%99%20kh%E1%BB%91i%20l%E1%BA%AFp%20r%C3%A1p" TargetMode="External"/><Relationship Id="rId9" Type="http://schemas.openxmlformats.org/officeDocument/2006/relationships/hyperlink" Target="https://thegioixechobe.com/do-choi-tre-em/xe-tap-di-cho-be-bang-go-cao-cap-chinh-hang-iq-viet-nam.html" TargetMode="External"/><Relationship Id="rId15" Type="http://schemas.openxmlformats.org/officeDocument/2006/relationships/hyperlink" Target="https://huyphu.com/bo-do-choi-rut-go-wiss-toy" TargetMode="External"/><Relationship Id="rId14" Type="http://schemas.openxmlformats.org/officeDocument/2006/relationships/hyperlink" Target="https://tranganhbabystore.com/bo-do-choi-go-cau-ca-logic-6in1" TargetMode="External"/><Relationship Id="rId17" Type="http://schemas.openxmlformats.org/officeDocument/2006/relationships/hyperlink" Target="https://banghehocsinh.vn/san-pham/bo-luon-hat-phi-thuyen/" TargetMode="External"/><Relationship Id="rId16" Type="http://schemas.openxmlformats.org/officeDocument/2006/relationships/hyperlink" Target="https://cosymart.vn/rut-go-mau" TargetMode="External"/><Relationship Id="rId5" Type="http://schemas.openxmlformats.org/officeDocument/2006/relationships/hyperlink" Target="https://linhanhkids.com/danh-muc/do-choi-thong-minh-tri-tue/xep-chong-tha-hinh/" TargetMode="External"/><Relationship Id="rId19" Type="http://schemas.openxmlformats.org/officeDocument/2006/relationships/hyperlink" Target="https://mbmart.com.vn/ban-bang-ve-tu-xoa-thong-minh-no776?srsltid=AfmBOoplskc5iQb-mRjK7owYgxz5DUz4tw2QpJuAilLX5sF8xlHgYOLa" TargetMode="External"/><Relationship Id="rId6" Type="http://schemas.openxmlformats.org/officeDocument/2006/relationships/hyperlink" Target="https://shopee.vn/bingsutoys?utm_source=chatgpt.com" TargetMode="External"/><Relationship Id="rId18" Type="http://schemas.openxmlformats.org/officeDocument/2006/relationships/hyperlink" Target="https://www.phudienhanoi.com.vn/bo-luon-hat-3-khung" TargetMode="External"/><Relationship Id="rId7" Type="http://schemas.openxmlformats.org/officeDocument/2006/relationships/hyperlink" Target="https://www.lazada.vn/tag/bap-benh-nhua-cho-be/" TargetMode="External"/><Relationship Id="rId8" Type="http://schemas.openxmlformats.org/officeDocument/2006/relationships/hyperlink" Target="https://babycuatoi.vn/bap-benh?srsltid=AfmBOop1-_i2kdnNN4XQ9E9R_EDBHUitq-ggTymZL61exUQX2_-3NzF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share/p/1BrcZTpxwq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ketoanthienung.net/muc-luong-toi-thieu-vung-nam-moi-nhat-hien-nay.htm" TargetMode="External"/><Relationship Id="rId2" Type="http://schemas.openxmlformats.org/officeDocument/2006/relationships/hyperlink" Target="https://ketoanthienung.org/tin-tuc/quy-dinh-ve-ty-le-dong-bhxh-bhyt-bhtn-moi-nhat.ht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3.0"/>
    <col customWidth="1" min="4" max="4" width="41.57"/>
    <col customWidth="1" min="5" max="5" width="94.14"/>
    <col customWidth="1" min="6" max="6" width="91.86"/>
    <col customWidth="1" min="7" max="7" width="66.29"/>
    <col customWidth="1" min="8" max="8" width="27.86"/>
    <col customWidth="1" min="9" max="9" width="30.29"/>
    <col customWidth="1" min="10" max="10" width="36.43"/>
    <col customWidth="1" min="11" max="11" width="60.29"/>
  </cols>
  <sheetData>
    <row r="1">
      <c r="A1" s="1" t="s">
        <v>0</v>
      </c>
      <c r="I1" s="3"/>
      <c r="J1" s="3"/>
      <c r="K1" s="3"/>
    </row>
    <row r="2">
      <c r="A2" s="7" t="s">
        <v>3</v>
      </c>
      <c r="I2" s="3"/>
      <c r="J2" s="3"/>
      <c r="K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10"/>
      <c r="I4" s="3"/>
      <c r="J4" s="3"/>
      <c r="K4" s="3"/>
    </row>
    <row r="5">
      <c r="A5" s="10"/>
      <c r="I5" s="3"/>
      <c r="J5" s="3"/>
      <c r="K5" s="3"/>
    </row>
    <row r="6">
      <c r="A6" s="13"/>
      <c r="B6" s="13"/>
      <c r="C6" s="13"/>
      <c r="D6" s="13"/>
      <c r="E6" s="13"/>
      <c r="F6" s="13"/>
      <c r="G6" s="13"/>
      <c r="H6" s="13"/>
      <c r="I6" s="3"/>
      <c r="J6" s="3"/>
      <c r="K6" s="3"/>
    </row>
    <row r="7">
      <c r="A7" s="15" t="s">
        <v>6</v>
      </c>
      <c r="B7" s="19" t="s">
        <v>9</v>
      </c>
      <c r="C7" s="19" t="s">
        <v>13</v>
      </c>
      <c r="D7" s="19" t="s">
        <v>16</v>
      </c>
      <c r="E7" s="20" t="s">
        <v>19</v>
      </c>
      <c r="F7" s="20" t="s">
        <v>22</v>
      </c>
      <c r="G7" s="20" t="s">
        <v>24</v>
      </c>
      <c r="H7" s="20" t="s">
        <v>26</v>
      </c>
      <c r="I7" s="20" t="s">
        <v>27</v>
      </c>
      <c r="J7" s="20" t="s">
        <v>28</v>
      </c>
      <c r="K7" s="23" t="s">
        <v>31</v>
      </c>
    </row>
    <row r="8" ht="180.75" customHeight="1">
      <c r="A8" s="25">
        <v>1.0</v>
      </c>
      <c r="B8" s="30" t="s">
        <v>35</v>
      </c>
      <c r="C8" s="30" t="s">
        <v>36</v>
      </c>
      <c r="D8" s="32"/>
      <c r="E8" s="32" t="s">
        <v>40</v>
      </c>
      <c r="F8" s="32" t="s">
        <v>41</v>
      </c>
      <c r="G8" s="32" t="s">
        <v>42</v>
      </c>
      <c r="H8" s="32" t="s">
        <v>43</v>
      </c>
      <c r="I8" s="32" t="s">
        <v>45</v>
      </c>
      <c r="J8" s="35" t="s">
        <v>46</v>
      </c>
      <c r="K8" s="35" t="s">
        <v>47</v>
      </c>
    </row>
    <row r="9" ht="216.0" customHeight="1">
      <c r="A9" s="25">
        <v>2.0</v>
      </c>
      <c r="B9" s="30" t="s">
        <v>48</v>
      </c>
      <c r="C9" s="30" t="s">
        <v>49</v>
      </c>
      <c r="D9" s="32"/>
      <c r="E9" s="32" t="s">
        <v>50</v>
      </c>
      <c r="F9" s="32" t="s">
        <v>51</v>
      </c>
      <c r="G9" s="32" t="s">
        <v>52</v>
      </c>
      <c r="H9" s="32" t="s">
        <v>53</v>
      </c>
      <c r="I9" s="38" t="s">
        <v>54</v>
      </c>
      <c r="J9" s="35" t="s">
        <v>55</v>
      </c>
      <c r="K9" s="35" t="s">
        <v>56</v>
      </c>
    </row>
    <row r="10" ht="181.5" customHeight="1">
      <c r="A10" s="39">
        <v>3.0</v>
      </c>
      <c r="B10" s="42" t="s">
        <v>57</v>
      </c>
      <c r="C10" s="30" t="s">
        <v>36</v>
      </c>
      <c r="D10" s="32"/>
      <c r="E10" s="32" t="s">
        <v>59</v>
      </c>
      <c r="F10" s="32" t="s">
        <v>61</v>
      </c>
      <c r="G10" s="32" t="s">
        <v>62</v>
      </c>
      <c r="H10" s="32" t="s">
        <v>43</v>
      </c>
      <c r="I10" s="32" t="s">
        <v>63</v>
      </c>
      <c r="J10" s="32" t="s">
        <v>65</v>
      </c>
      <c r="K10" s="35" t="s">
        <v>66</v>
      </c>
    </row>
    <row r="11" ht="190.5" customHeight="1">
      <c r="A11" s="25">
        <v>4.0</v>
      </c>
      <c r="B11" s="30" t="s">
        <v>68</v>
      </c>
      <c r="C11" s="30" t="s">
        <v>36</v>
      </c>
      <c r="D11" s="32"/>
      <c r="E11" s="32" t="s">
        <v>69</v>
      </c>
      <c r="F11" s="32" t="s">
        <v>70</v>
      </c>
      <c r="G11" s="32" t="s">
        <v>71</v>
      </c>
      <c r="H11" s="32" t="s">
        <v>53</v>
      </c>
      <c r="I11" s="32" t="s">
        <v>72</v>
      </c>
      <c r="J11" s="35" t="s">
        <v>73</v>
      </c>
      <c r="K11" s="35" t="s">
        <v>74</v>
      </c>
    </row>
    <row r="12" ht="167.25" customHeight="1">
      <c r="A12" s="25">
        <v>5.0</v>
      </c>
      <c r="B12" s="30" t="s">
        <v>76</v>
      </c>
      <c r="C12" s="30" t="s">
        <v>36</v>
      </c>
      <c r="D12" s="32"/>
      <c r="E12" s="32" t="s">
        <v>78</v>
      </c>
      <c r="F12" s="32" t="s">
        <v>79</v>
      </c>
      <c r="G12" s="32" t="s">
        <v>80</v>
      </c>
      <c r="H12" s="32" t="s">
        <v>43</v>
      </c>
      <c r="I12" s="32" t="s">
        <v>82</v>
      </c>
      <c r="J12" s="35" t="s">
        <v>83</v>
      </c>
      <c r="K12" s="35" t="s">
        <v>85</v>
      </c>
    </row>
    <row r="13" ht="189.0" customHeight="1">
      <c r="A13" s="25">
        <v>6.0</v>
      </c>
      <c r="B13" s="30" t="s">
        <v>86</v>
      </c>
      <c r="C13" s="30" t="s">
        <v>36</v>
      </c>
      <c r="D13" s="32"/>
      <c r="E13" s="32" t="s">
        <v>88</v>
      </c>
      <c r="F13" s="32" t="s">
        <v>90</v>
      </c>
      <c r="G13" s="32" t="s">
        <v>91</v>
      </c>
      <c r="H13" s="32" t="s">
        <v>53</v>
      </c>
      <c r="I13" s="32" t="s">
        <v>63</v>
      </c>
      <c r="J13" s="35" t="s">
        <v>92</v>
      </c>
      <c r="K13" s="32" t="s">
        <v>94</v>
      </c>
    </row>
    <row r="14" ht="191.25" customHeight="1">
      <c r="A14" s="25">
        <v>7.0</v>
      </c>
      <c r="B14" s="30" t="s">
        <v>95</v>
      </c>
      <c r="C14" s="30" t="s">
        <v>36</v>
      </c>
      <c r="D14" s="32"/>
      <c r="E14" s="32" t="s">
        <v>96</v>
      </c>
      <c r="F14" s="32" t="s">
        <v>98</v>
      </c>
      <c r="G14" s="32" t="s">
        <v>99</v>
      </c>
      <c r="H14" s="32" t="s">
        <v>101</v>
      </c>
      <c r="I14" s="32" t="s">
        <v>63</v>
      </c>
      <c r="J14" s="32" t="s">
        <v>104</v>
      </c>
      <c r="K14" s="32" t="s">
        <v>105</v>
      </c>
    </row>
    <row r="15" ht="224.25" customHeight="1">
      <c r="A15" s="25">
        <v>8.0</v>
      </c>
      <c r="B15" s="30" t="s">
        <v>106</v>
      </c>
      <c r="C15" s="30" t="s">
        <v>36</v>
      </c>
      <c r="D15" s="32"/>
      <c r="E15" s="32" t="s">
        <v>108</v>
      </c>
      <c r="F15" s="32" t="s">
        <v>109</v>
      </c>
      <c r="G15" s="32" t="s">
        <v>110</v>
      </c>
      <c r="H15" s="32" t="s">
        <v>111</v>
      </c>
      <c r="I15" s="32" t="s">
        <v>112</v>
      </c>
      <c r="J15" s="32" t="s">
        <v>65</v>
      </c>
      <c r="K15" s="35" t="s">
        <v>113</v>
      </c>
    </row>
    <row r="16" ht="155.25" customHeight="1">
      <c r="A16" s="25">
        <v>9.0</v>
      </c>
      <c r="B16" s="30" t="s">
        <v>114</v>
      </c>
      <c r="C16" s="30" t="s">
        <v>36</v>
      </c>
      <c r="D16" s="32"/>
      <c r="E16" s="32" t="s">
        <v>115</v>
      </c>
      <c r="F16" s="32" t="s">
        <v>116</v>
      </c>
      <c r="G16" s="32" t="s">
        <v>118</v>
      </c>
      <c r="H16" s="32" t="s">
        <v>120</v>
      </c>
      <c r="I16" s="32" t="s">
        <v>54</v>
      </c>
      <c r="J16" s="35" t="s">
        <v>121</v>
      </c>
      <c r="K16" s="35" t="s">
        <v>122</v>
      </c>
    </row>
    <row r="17" ht="195.0" customHeight="1">
      <c r="A17" s="25">
        <v>10.0</v>
      </c>
      <c r="B17" s="30" t="s">
        <v>124</v>
      </c>
      <c r="C17" s="30" t="s">
        <v>36</v>
      </c>
      <c r="D17" s="32"/>
      <c r="E17" s="32" t="s">
        <v>125</v>
      </c>
      <c r="F17" s="32" t="s">
        <v>126</v>
      </c>
      <c r="G17" s="32" t="s">
        <v>128</v>
      </c>
      <c r="H17" s="32" t="s">
        <v>129</v>
      </c>
      <c r="I17" s="32" t="s">
        <v>130</v>
      </c>
      <c r="J17" s="35" t="s">
        <v>131</v>
      </c>
      <c r="K17" s="35" t="s">
        <v>132</v>
      </c>
    </row>
    <row r="18">
      <c r="A18" s="3"/>
      <c r="B18" s="3"/>
      <c r="C18" s="3"/>
      <c r="D18" s="10"/>
      <c r="E18" s="10"/>
      <c r="F18" s="54"/>
      <c r="G18" s="54"/>
      <c r="H18" s="3"/>
      <c r="I18" s="3"/>
      <c r="J18" s="3"/>
      <c r="K18" s="3"/>
    </row>
    <row r="19">
      <c r="A19" s="3"/>
      <c r="B19" s="3" t="s">
        <v>137</v>
      </c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 t="s">
        <v>140</v>
      </c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 t="s">
        <v>143</v>
      </c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10"/>
      <c r="F22" s="10"/>
      <c r="G22" s="3"/>
      <c r="H22" s="3"/>
      <c r="I22" s="3"/>
      <c r="J22" s="3"/>
      <c r="K22" s="3"/>
    </row>
    <row r="23">
      <c r="A23" s="3"/>
      <c r="B23" s="61" t="s">
        <v>148</v>
      </c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61" t="s">
        <v>151</v>
      </c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61" t="s">
        <v>154</v>
      </c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mergeCells count="4">
    <mergeCell ref="A1:H1"/>
    <mergeCell ref="A2:H2"/>
    <mergeCell ref="A4:H4"/>
    <mergeCell ref="A5:H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111.86"/>
    <col customWidth="1" min="9" max="9" width="29.29"/>
    <col customWidth="1" min="10" max="10" width="159.4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6"/>
      <c r="J1" s="3"/>
    </row>
    <row r="2">
      <c r="A2" s="9"/>
      <c r="B2" s="4"/>
      <c r="C2" s="4"/>
      <c r="D2" s="4"/>
      <c r="E2" s="4"/>
      <c r="F2" s="4"/>
      <c r="G2" s="4"/>
      <c r="H2" s="4"/>
      <c r="I2" s="6"/>
      <c r="J2" s="3"/>
    </row>
    <row r="3">
      <c r="A3" s="3"/>
      <c r="B3" s="3"/>
      <c r="C3" s="3"/>
      <c r="D3" s="3"/>
      <c r="E3" s="3"/>
      <c r="F3" s="12" t="s">
        <v>5</v>
      </c>
      <c r="G3" s="3"/>
      <c r="H3" s="3"/>
      <c r="I3" s="3"/>
      <c r="J3" s="3"/>
    </row>
    <row r="4">
      <c r="A4" s="14" t="s">
        <v>6</v>
      </c>
      <c r="B4" s="18" t="s">
        <v>8</v>
      </c>
      <c r="C4" s="14" t="s">
        <v>13</v>
      </c>
      <c r="D4" s="18" t="s">
        <v>14</v>
      </c>
      <c r="E4" s="18" t="s">
        <v>15</v>
      </c>
      <c r="F4" s="18" t="s">
        <v>17</v>
      </c>
      <c r="G4" s="22" t="s">
        <v>20</v>
      </c>
      <c r="H4" s="18" t="s">
        <v>30</v>
      </c>
      <c r="I4" s="18" t="s">
        <v>32</v>
      </c>
      <c r="J4" s="18" t="s">
        <v>33</v>
      </c>
    </row>
    <row r="5">
      <c r="A5" s="21">
        <v>1.0</v>
      </c>
      <c r="B5" s="24" t="s">
        <v>35</v>
      </c>
      <c r="C5" s="28" t="s">
        <v>36</v>
      </c>
      <c r="D5" s="31">
        <v>150000.0</v>
      </c>
      <c r="E5" s="34">
        <v>259000.0</v>
      </c>
      <c r="F5" s="45">
        <f t="shared" ref="F5:F14" si="1">(E5-D5)/D5</f>
        <v>0.7266666667</v>
      </c>
      <c r="G5" s="48">
        <v>259000.0</v>
      </c>
      <c r="H5" s="52" t="s">
        <v>87</v>
      </c>
      <c r="I5" s="55">
        <v>165000.0</v>
      </c>
      <c r="J5" s="64" t="s">
        <v>136</v>
      </c>
    </row>
    <row r="6">
      <c r="A6" s="21">
        <v>2.0</v>
      </c>
      <c r="B6" s="24" t="s">
        <v>48</v>
      </c>
      <c r="C6" s="28" t="s">
        <v>49</v>
      </c>
      <c r="D6" s="31">
        <v>100000.0</v>
      </c>
      <c r="E6" s="67">
        <v>189000.0</v>
      </c>
      <c r="F6" s="45">
        <f t="shared" si="1"/>
        <v>0.89</v>
      </c>
      <c r="G6" s="48">
        <v>189000.0</v>
      </c>
      <c r="H6" s="52" t="s">
        <v>158</v>
      </c>
      <c r="I6" s="55">
        <v>185000.0</v>
      </c>
      <c r="J6" s="64" t="s">
        <v>160</v>
      </c>
    </row>
    <row r="7">
      <c r="A7" s="21">
        <v>3.0</v>
      </c>
      <c r="B7" s="24" t="s">
        <v>57</v>
      </c>
      <c r="C7" s="28" t="s">
        <v>36</v>
      </c>
      <c r="D7" s="72">
        <v>70000.0</v>
      </c>
      <c r="E7" s="67">
        <v>139000.0</v>
      </c>
      <c r="F7" s="45">
        <f t="shared" si="1"/>
        <v>0.9857142857</v>
      </c>
      <c r="G7" s="48">
        <v>139000.0</v>
      </c>
      <c r="H7" s="52" t="s">
        <v>162</v>
      </c>
      <c r="I7" s="55">
        <v>827000.0</v>
      </c>
      <c r="J7" s="64" t="s">
        <v>163</v>
      </c>
    </row>
    <row r="8">
      <c r="A8" s="21">
        <v>4.0</v>
      </c>
      <c r="B8" s="24" t="s">
        <v>76</v>
      </c>
      <c r="C8" s="28" t="s">
        <v>36</v>
      </c>
      <c r="D8" s="72">
        <v>500000.0</v>
      </c>
      <c r="E8" s="67">
        <v>950000.0</v>
      </c>
      <c r="F8" s="45">
        <f t="shared" si="1"/>
        <v>0.9</v>
      </c>
      <c r="G8" s="48">
        <v>950000.0</v>
      </c>
      <c r="H8" s="52" t="s">
        <v>165</v>
      </c>
      <c r="I8" s="55">
        <v>163000.0</v>
      </c>
      <c r="J8" s="64" t="s">
        <v>170</v>
      </c>
    </row>
    <row r="9">
      <c r="A9" s="21">
        <v>5.0</v>
      </c>
      <c r="B9" s="24" t="s">
        <v>68</v>
      </c>
      <c r="C9" s="28" t="s">
        <v>36</v>
      </c>
      <c r="D9" s="72">
        <v>250000.0</v>
      </c>
      <c r="E9" s="67">
        <v>420000.0</v>
      </c>
      <c r="F9" s="45">
        <f t="shared" si="1"/>
        <v>0.68</v>
      </c>
      <c r="G9" s="48">
        <v>420000.0</v>
      </c>
      <c r="H9" s="52" t="s">
        <v>175</v>
      </c>
      <c r="I9" s="55">
        <v>185000.0</v>
      </c>
      <c r="J9" s="64" t="s">
        <v>180</v>
      </c>
    </row>
    <row r="10">
      <c r="A10" s="21">
        <v>6.0</v>
      </c>
      <c r="B10" s="24" t="s">
        <v>86</v>
      </c>
      <c r="C10" s="28" t="s">
        <v>36</v>
      </c>
      <c r="D10" s="76">
        <v>120000.0</v>
      </c>
      <c r="E10" s="67">
        <v>185000.0</v>
      </c>
      <c r="F10" s="45">
        <f t="shared" si="1"/>
        <v>0.5416666667</v>
      </c>
      <c r="G10" s="48">
        <v>185000.0</v>
      </c>
      <c r="H10" s="52" t="s">
        <v>184</v>
      </c>
      <c r="I10" s="55">
        <v>69000.0</v>
      </c>
      <c r="J10" s="64" t="s">
        <v>185</v>
      </c>
    </row>
    <row r="11">
      <c r="A11" s="21">
        <v>7.0</v>
      </c>
      <c r="B11" s="24" t="s">
        <v>95</v>
      </c>
      <c r="C11" s="28" t="s">
        <v>36</v>
      </c>
      <c r="D11" s="72">
        <v>45000.0</v>
      </c>
      <c r="E11" s="67">
        <v>85000.0</v>
      </c>
      <c r="F11" s="45">
        <f t="shared" si="1"/>
        <v>0.8888888889</v>
      </c>
      <c r="G11" s="48">
        <v>85000.0</v>
      </c>
      <c r="H11" s="52" t="s">
        <v>192</v>
      </c>
      <c r="I11" s="55">
        <v>100000.0</v>
      </c>
      <c r="J11" s="80" t="s">
        <v>194</v>
      </c>
    </row>
    <row r="12">
      <c r="A12" s="21">
        <v>8.0</v>
      </c>
      <c r="B12" s="24" t="s">
        <v>106</v>
      </c>
      <c r="C12" s="28" t="s">
        <v>36</v>
      </c>
      <c r="D12" s="72">
        <v>35000.0</v>
      </c>
      <c r="E12" s="67">
        <v>65000.0</v>
      </c>
      <c r="F12" s="45">
        <f t="shared" si="1"/>
        <v>0.8571428571</v>
      </c>
      <c r="G12" s="48">
        <v>65000.0</v>
      </c>
      <c r="H12" s="52" t="s">
        <v>198</v>
      </c>
      <c r="I12" s="55">
        <v>75000.0</v>
      </c>
      <c r="J12" s="64" t="s">
        <v>203</v>
      </c>
    </row>
    <row r="13">
      <c r="A13" s="21">
        <v>9.0</v>
      </c>
      <c r="B13" s="24" t="s">
        <v>114</v>
      </c>
      <c r="C13" s="28" t="s">
        <v>36</v>
      </c>
      <c r="D13" s="72">
        <v>55000.0</v>
      </c>
      <c r="E13" s="67">
        <v>95000.0</v>
      </c>
      <c r="F13" s="45">
        <f t="shared" si="1"/>
        <v>0.7272727273</v>
      </c>
      <c r="G13" s="48">
        <v>95000.0</v>
      </c>
      <c r="H13" s="52" t="s">
        <v>204</v>
      </c>
      <c r="I13" s="55">
        <v>75000.0</v>
      </c>
      <c r="J13" s="64" t="s">
        <v>205</v>
      </c>
    </row>
    <row r="14">
      <c r="A14" s="21">
        <v>10.0</v>
      </c>
      <c r="B14" s="24" t="s">
        <v>124</v>
      </c>
      <c r="C14" s="28" t="s">
        <v>36</v>
      </c>
      <c r="D14" s="72">
        <v>110000.0</v>
      </c>
      <c r="E14" s="67">
        <v>170000.0</v>
      </c>
      <c r="F14" s="45">
        <f t="shared" si="1"/>
        <v>0.5454545455</v>
      </c>
      <c r="G14" s="48">
        <v>170000.0</v>
      </c>
      <c r="H14" s="52" t="s">
        <v>206</v>
      </c>
      <c r="I14" s="55">
        <v>58500.0</v>
      </c>
      <c r="J14" s="64" t="s">
        <v>208</v>
      </c>
    </row>
    <row r="15">
      <c r="A15" s="3"/>
      <c r="B15" s="3"/>
      <c r="C15" s="3"/>
      <c r="D15" s="3"/>
      <c r="E15" s="3"/>
      <c r="F15" s="3"/>
      <c r="G15" s="3"/>
      <c r="H15" s="10"/>
      <c r="I15" s="10"/>
      <c r="J15" s="10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81" t="s">
        <v>6</v>
      </c>
      <c r="B20" s="83" t="s">
        <v>10</v>
      </c>
      <c r="C20" s="84"/>
      <c r="D20" s="85"/>
      <c r="E20" s="83" t="s">
        <v>11</v>
      </c>
      <c r="F20" s="84"/>
      <c r="G20" s="84"/>
      <c r="H20" s="84"/>
      <c r="I20" s="85"/>
      <c r="J20" s="3"/>
    </row>
    <row r="21">
      <c r="A21" s="21">
        <v>1.0</v>
      </c>
      <c r="B21" s="70" t="s">
        <v>217</v>
      </c>
      <c r="C21" s="84"/>
      <c r="D21" s="85"/>
      <c r="E21" s="70" t="s">
        <v>221</v>
      </c>
      <c r="F21" s="84"/>
      <c r="G21" s="84"/>
      <c r="H21" s="84"/>
      <c r="I21" s="85"/>
      <c r="J21" s="3"/>
    </row>
    <row r="22">
      <c r="A22" s="21">
        <v>2.0</v>
      </c>
      <c r="B22" s="70" t="s">
        <v>222</v>
      </c>
      <c r="C22" s="84"/>
      <c r="D22" s="85"/>
      <c r="E22" s="70" t="s">
        <v>223</v>
      </c>
      <c r="F22" s="84"/>
      <c r="G22" s="84"/>
      <c r="H22" s="84"/>
      <c r="I22" s="85"/>
      <c r="J22" s="3"/>
    </row>
    <row r="23">
      <c r="A23" s="21">
        <v>3.0</v>
      </c>
      <c r="B23" s="70" t="s">
        <v>225</v>
      </c>
      <c r="C23" s="84"/>
      <c r="D23" s="85"/>
      <c r="E23" s="70" t="s">
        <v>227</v>
      </c>
      <c r="F23" s="84"/>
      <c r="G23" s="84"/>
      <c r="H23" s="84"/>
      <c r="I23" s="85"/>
      <c r="J23" s="3"/>
    </row>
    <row r="24">
      <c r="A24" s="21">
        <v>4.0</v>
      </c>
      <c r="B24" s="70" t="s">
        <v>228</v>
      </c>
      <c r="C24" s="84"/>
      <c r="D24" s="85"/>
      <c r="E24" s="70" t="s">
        <v>229</v>
      </c>
      <c r="F24" s="84"/>
      <c r="G24" s="84"/>
      <c r="H24" s="84"/>
      <c r="I24" s="85"/>
      <c r="J24" s="3"/>
    </row>
    <row r="25">
      <c r="A25" s="21">
        <v>5.0</v>
      </c>
      <c r="B25" s="70" t="s">
        <v>230</v>
      </c>
      <c r="C25" s="84"/>
      <c r="D25" s="85"/>
      <c r="E25" s="70" t="s">
        <v>231</v>
      </c>
      <c r="F25" s="84"/>
      <c r="G25" s="84"/>
      <c r="H25" s="84"/>
      <c r="I25" s="85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10"/>
      <c r="E30" s="10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</sheetData>
  <mergeCells count="14">
    <mergeCell ref="B22:D22"/>
    <mergeCell ref="B23:D23"/>
    <mergeCell ref="B24:D24"/>
    <mergeCell ref="B25:D25"/>
    <mergeCell ref="E23:I23"/>
    <mergeCell ref="E24:I24"/>
    <mergeCell ref="E25:I25"/>
    <mergeCell ref="A1:I1"/>
    <mergeCell ref="A2:I2"/>
    <mergeCell ref="B20:D20"/>
    <mergeCell ref="E20:I20"/>
    <mergeCell ref="B21:D21"/>
    <mergeCell ref="E21:I21"/>
    <mergeCell ref="E22:I22"/>
  </mergeCells>
  <hyperlinks>
    <hyperlink r:id="rId1" ref="H5"/>
    <hyperlink r:id="rId2" ref="J5"/>
    <hyperlink r:id="rId3" ref="H6"/>
    <hyperlink r:id="rId4" ref="J6"/>
    <hyperlink r:id="rId5" ref="H7"/>
    <hyperlink r:id="rId6" ref="J7"/>
    <hyperlink r:id="rId7" ref="H8"/>
    <hyperlink r:id="rId8" ref="J8"/>
    <hyperlink r:id="rId9" ref="H9"/>
    <hyperlink r:id="rId10" ref="J9"/>
    <hyperlink r:id="rId11" ref="H10"/>
    <hyperlink r:id="rId12" ref="J10"/>
    <hyperlink r:id="rId13" ref="H11"/>
    <hyperlink r:id="rId14" ref="J11"/>
    <hyperlink r:id="rId15" ref="H12"/>
    <hyperlink r:id="rId16" ref="J12"/>
    <hyperlink r:id="rId17" ref="H13"/>
    <hyperlink r:id="rId18" ref="J13"/>
    <hyperlink r:id="rId19" ref="H14"/>
    <hyperlink r:id="rId20" ref="J14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3.29"/>
    <col customWidth="1" min="3" max="3" width="56.71"/>
    <col customWidth="1" min="4" max="4" width="148.86"/>
  </cols>
  <sheetData>
    <row r="1">
      <c r="A1" s="2" t="s">
        <v>1</v>
      </c>
      <c r="B1" s="4"/>
      <c r="C1" s="4"/>
      <c r="D1" s="6"/>
    </row>
    <row r="2">
      <c r="A2" s="2" t="s">
        <v>4</v>
      </c>
      <c r="B2" s="4"/>
      <c r="C2" s="4"/>
      <c r="D2" s="6"/>
    </row>
    <row r="3">
      <c r="A3" s="3"/>
      <c r="B3" s="3"/>
      <c r="C3" s="3"/>
      <c r="D3" s="3"/>
    </row>
    <row r="4">
      <c r="A4" s="16" t="s">
        <v>6</v>
      </c>
      <c r="B4" s="16" t="s">
        <v>10</v>
      </c>
      <c r="C4" s="16" t="s">
        <v>11</v>
      </c>
      <c r="D4" s="16" t="s">
        <v>12</v>
      </c>
    </row>
    <row r="5" ht="169.5" customHeight="1">
      <c r="A5" s="21">
        <v>1.0</v>
      </c>
      <c r="B5" s="24" t="s">
        <v>29</v>
      </c>
      <c r="C5" s="27" t="s">
        <v>34</v>
      </c>
      <c r="D5" s="40" t="s">
        <v>38</v>
      </c>
    </row>
    <row r="6">
      <c r="A6" s="43">
        <v>2.0</v>
      </c>
      <c r="B6" s="24" t="s">
        <v>64</v>
      </c>
      <c r="C6" s="46" t="s">
        <v>67</v>
      </c>
      <c r="D6" s="24" t="s">
        <v>75</v>
      </c>
    </row>
    <row r="7">
      <c r="A7" s="43">
        <v>3.0</v>
      </c>
      <c r="B7" s="24" t="s">
        <v>77</v>
      </c>
      <c r="C7" s="49" t="s">
        <v>81</v>
      </c>
      <c r="D7" s="24" t="s">
        <v>89</v>
      </c>
    </row>
    <row r="8">
      <c r="A8" s="21">
        <v>4.0</v>
      </c>
      <c r="B8" s="24" t="s">
        <v>93</v>
      </c>
      <c r="C8" s="34">
        <v>7000000.0</v>
      </c>
      <c r="D8" s="24" t="s">
        <v>97</v>
      </c>
    </row>
    <row r="9">
      <c r="A9" s="21">
        <v>5.0</v>
      </c>
      <c r="B9" s="24" t="s">
        <v>102</v>
      </c>
      <c r="C9" s="34">
        <f>C8*1</f>
        <v>7000000</v>
      </c>
      <c r="D9" s="24" t="s">
        <v>127</v>
      </c>
    </row>
    <row r="10">
      <c r="A10" s="53">
        <v>6.0</v>
      </c>
      <c r="B10" s="56" t="s">
        <v>135</v>
      </c>
      <c r="C10" s="56" t="s">
        <v>138</v>
      </c>
      <c r="D10" s="56" t="s">
        <v>139</v>
      </c>
    </row>
    <row r="11">
      <c r="A11" s="58">
        <v>7.0</v>
      </c>
      <c r="B11" s="59" t="s">
        <v>144</v>
      </c>
      <c r="C11" s="46" t="s">
        <v>146</v>
      </c>
      <c r="D11" s="24" t="s">
        <v>147</v>
      </c>
    </row>
    <row r="12">
      <c r="A12" s="62"/>
      <c r="B12" s="63"/>
      <c r="C12" s="46" t="s">
        <v>152</v>
      </c>
      <c r="D12" s="24"/>
    </row>
    <row r="13">
      <c r="A13" s="3"/>
      <c r="B13" s="3"/>
      <c r="C13" s="3"/>
      <c r="D13" s="3"/>
    </row>
  </sheetData>
  <mergeCells count="4">
    <mergeCell ref="A1:D1"/>
    <mergeCell ref="A2:D2"/>
    <mergeCell ref="A11:A12"/>
    <mergeCell ref="B11:B12"/>
  </mergeCells>
  <hyperlinks>
    <hyperlink r:id="rId1" ref="D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6.71"/>
    <col customWidth="1" min="3" max="3" width="24.14"/>
    <col customWidth="1" min="4" max="4" width="20.71"/>
    <col customWidth="1" min="5" max="5" width="18.71"/>
    <col customWidth="1" min="6" max="6" width="28.29"/>
  </cols>
  <sheetData>
    <row r="1">
      <c r="A1" s="5" t="s">
        <v>2</v>
      </c>
      <c r="B1" s="8"/>
      <c r="C1" s="8"/>
      <c r="D1" s="8"/>
      <c r="E1" s="8"/>
      <c r="F1" s="11"/>
      <c r="G1" s="3"/>
      <c r="H1" s="3"/>
    </row>
    <row r="2">
      <c r="A2" s="3"/>
      <c r="B2" s="8"/>
      <c r="C2" s="8"/>
      <c r="D2" s="8"/>
      <c r="E2" s="8"/>
      <c r="F2" s="11"/>
      <c r="G2" s="3"/>
      <c r="H2" s="3"/>
    </row>
    <row r="3">
      <c r="A3" s="5" t="s">
        <v>5</v>
      </c>
      <c r="B3" s="3" t="s">
        <v>7</v>
      </c>
      <c r="C3" s="3"/>
      <c r="D3" s="3"/>
      <c r="E3" s="3"/>
      <c r="F3" s="17" t="s">
        <v>5</v>
      </c>
      <c r="G3" s="3"/>
      <c r="H3" s="3"/>
    </row>
    <row r="4">
      <c r="A4" s="3"/>
      <c r="B4" s="16" t="s">
        <v>18</v>
      </c>
      <c r="C4" s="16" t="s">
        <v>21</v>
      </c>
      <c r="D4" s="16" t="s">
        <v>23</v>
      </c>
      <c r="E4" s="16" t="s">
        <v>25</v>
      </c>
      <c r="F4" s="26" t="s">
        <v>12</v>
      </c>
      <c r="G4" s="29" t="s">
        <v>37</v>
      </c>
      <c r="H4" s="3"/>
    </row>
    <row r="5">
      <c r="A5" s="33" t="s">
        <v>39</v>
      </c>
      <c r="B5" s="33" t="s">
        <v>44</v>
      </c>
      <c r="C5" s="36"/>
      <c r="D5" s="36"/>
      <c r="E5" s="36"/>
      <c r="F5" s="37"/>
      <c r="G5" s="24"/>
      <c r="H5" s="3"/>
    </row>
    <row r="6">
      <c r="A6" s="41">
        <v>1.0</v>
      </c>
      <c r="B6" s="33" t="s">
        <v>58</v>
      </c>
      <c r="C6" s="44" t="s">
        <v>60</v>
      </c>
      <c r="D6" s="47">
        <v>2000000.0</v>
      </c>
      <c r="E6" s="47">
        <v>2000000.0</v>
      </c>
      <c r="F6" s="50" t="s">
        <v>84</v>
      </c>
      <c r="G6" s="51"/>
      <c r="H6" s="3"/>
    </row>
    <row r="7">
      <c r="A7" s="41">
        <v>2.0</v>
      </c>
      <c r="B7" s="33" t="s">
        <v>100</v>
      </c>
      <c r="C7" s="44" t="s">
        <v>103</v>
      </c>
      <c r="D7" s="47">
        <v>500000.0</v>
      </c>
      <c r="E7" s="47">
        <v>6000000.0</v>
      </c>
      <c r="F7" s="50" t="s">
        <v>107</v>
      </c>
      <c r="G7" s="51"/>
      <c r="H7" s="3"/>
    </row>
    <row r="8">
      <c r="A8" s="41">
        <v>3.0</v>
      </c>
      <c r="B8" s="33" t="s">
        <v>117</v>
      </c>
      <c r="C8" s="44" t="s">
        <v>119</v>
      </c>
      <c r="D8" s="47">
        <v>10000.0</v>
      </c>
      <c r="E8" s="47">
        <v>1500000.0</v>
      </c>
      <c r="F8" s="50" t="s">
        <v>123</v>
      </c>
      <c r="G8" s="51"/>
      <c r="H8" s="3"/>
    </row>
    <row r="9">
      <c r="A9" s="33" t="s">
        <v>133</v>
      </c>
      <c r="B9" s="33" t="s">
        <v>134</v>
      </c>
      <c r="C9" s="36"/>
      <c r="D9" s="36"/>
      <c r="E9" s="36"/>
      <c r="F9" s="57"/>
      <c r="G9" s="51"/>
      <c r="H9" s="3"/>
    </row>
    <row r="10">
      <c r="A10" s="41">
        <v>1.0</v>
      </c>
      <c r="B10" s="33" t="s">
        <v>141</v>
      </c>
      <c r="C10" s="44" t="s">
        <v>142</v>
      </c>
      <c r="D10" s="47">
        <v>2000000.0</v>
      </c>
      <c r="E10" s="47">
        <v>1.2E7</v>
      </c>
      <c r="F10" s="50" t="s">
        <v>145</v>
      </c>
      <c r="G10" s="60"/>
      <c r="H10" s="3"/>
    </row>
    <row r="11">
      <c r="A11" s="41">
        <v>2.0</v>
      </c>
      <c r="B11" s="33" t="s">
        <v>149</v>
      </c>
      <c r="C11" s="44" t="s">
        <v>150</v>
      </c>
      <c r="D11" s="47">
        <v>200000.0</v>
      </c>
      <c r="E11" s="47">
        <v>2400000.0</v>
      </c>
      <c r="F11" s="65" t="s">
        <v>153</v>
      </c>
      <c r="G11" s="66"/>
      <c r="H11" s="3"/>
    </row>
    <row r="12">
      <c r="A12" s="41">
        <v>3.0</v>
      </c>
      <c r="B12" s="33" t="s">
        <v>155</v>
      </c>
      <c r="C12" s="44" t="s">
        <v>156</v>
      </c>
      <c r="D12" s="47">
        <v>500000.0</v>
      </c>
      <c r="E12" s="47">
        <v>3000000.0</v>
      </c>
      <c r="F12" s="50" t="s">
        <v>157</v>
      </c>
      <c r="G12" s="68"/>
      <c r="H12" s="3"/>
    </row>
    <row r="13">
      <c r="A13" s="5" t="s">
        <v>159</v>
      </c>
      <c r="B13" s="24"/>
      <c r="C13" s="69"/>
      <c r="D13" s="69"/>
      <c r="E13" s="34">
        <f>C13*D13</f>
        <v>0</v>
      </c>
      <c r="F13" s="70"/>
      <c r="G13" s="24"/>
      <c r="H13" s="3"/>
    </row>
    <row r="14">
      <c r="A14" s="3"/>
      <c r="B14" s="16" t="s">
        <v>161</v>
      </c>
      <c r="C14" s="71"/>
      <c r="D14" s="71"/>
      <c r="E14" s="73">
        <f>SUM(E6:E12)</f>
        <v>26900000</v>
      </c>
      <c r="F14" s="74"/>
      <c r="G14" s="74"/>
      <c r="H14" s="3"/>
    </row>
    <row r="15">
      <c r="A15" s="5" t="s">
        <v>5</v>
      </c>
      <c r="B15" s="3"/>
      <c r="C15" s="3"/>
      <c r="D15" s="3"/>
      <c r="E15" s="3"/>
      <c r="F15" s="3"/>
      <c r="G15" s="3"/>
      <c r="H15" s="3"/>
    </row>
    <row r="16">
      <c r="A16" s="3"/>
      <c r="B16" s="3" t="s">
        <v>164</v>
      </c>
      <c r="C16" s="3"/>
      <c r="D16" s="3"/>
      <c r="E16" s="3"/>
      <c r="F16" s="17" t="s">
        <v>5</v>
      </c>
      <c r="G16" s="3"/>
      <c r="H16" s="3"/>
    </row>
    <row r="17">
      <c r="A17" s="33" t="s">
        <v>39</v>
      </c>
      <c r="B17" s="33" t="s">
        <v>44</v>
      </c>
      <c r="C17" s="36"/>
      <c r="D17" s="36"/>
      <c r="E17" s="36"/>
      <c r="F17" s="37"/>
      <c r="G17" s="75"/>
      <c r="H17" s="3"/>
    </row>
    <row r="18">
      <c r="A18" s="41">
        <v>1.0</v>
      </c>
      <c r="B18" s="33" t="s">
        <v>166</v>
      </c>
      <c r="C18" s="44" t="s">
        <v>167</v>
      </c>
      <c r="D18" s="47">
        <v>400000.0</v>
      </c>
      <c r="E18" s="47">
        <v>2400000.0</v>
      </c>
      <c r="F18" s="50" t="s">
        <v>168</v>
      </c>
      <c r="G18" s="51"/>
      <c r="H18" s="3"/>
    </row>
    <row r="19">
      <c r="A19" s="41">
        <v>2.0</v>
      </c>
      <c r="B19" s="33" t="s">
        <v>169</v>
      </c>
      <c r="C19" s="44" t="s">
        <v>60</v>
      </c>
      <c r="D19" s="47">
        <v>3500000.0</v>
      </c>
      <c r="E19" s="47">
        <v>3500000.0</v>
      </c>
      <c r="F19" s="50" t="s">
        <v>171</v>
      </c>
      <c r="G19" s="51"/>
      <c r="H19" s="3"/>
    </row>
    <row r="20">
      <c r="A20" s="41">
        <v>3.0</v>
      </c>
      <c r="B20" s="33" t="s">
        <v>172</v>
      </c>
      <c r="C20" s="44" t="s">
        <v>173</v>
      </c>
      <c r="D20" s="47">
        <v>1500000.0</v>
      </c>
      <c r="E20" s="47">
        <v>3000000.0</v>
      </c>
      <c r="F20" s="50" t="s">
        <v>174</v>
      </c>
      <c r="G20" s="51"/>
      <c r="H20" s="3"/>
    </row>
    <row r="21">
      <c r="A21" s="33" t="s">
        <v>133</v>
      </c>
      <c r="B21" s="33" t="s">
        <v>134</v>
      </c>
      <c r="C21" s="36"/>
      <c r="D21" s="36"/>
      <c r="E21" s="36"/>
      <c r="F21" s="57"/>
      <c r="G21" s="51"/>
      <c r="H21" s="3"/>
    </row>
    <row r="22">
      <c r="A22" s="41">
        <v>1.0</v>
      </c>
      <c r="B22" s="33" t="s">
        <v>176</v>
      </c>
      <c r="C22" s="44" t="s">
        <v>142</v>
      </c>
      <c r="D22" s="47">
        <v>2000000.0</v>
      </c>
      <c r="E22" s="47">
        <v>1.2E7</v>
      </c>
      <c r="F22" s="50" t="s">
        <v>177</v>
      </c>
      <c r="G22" s="51"/>
      <c r="H22" s="3"/>
    </row>
    <row r="23">
      <c r="A23" s="41">
        <v>2.0</v>
      </c>
      <c r="B23" s="33" t="s">
        <v>178</v>
      </c>
      <c r="C23" s="44" t="s">
        <v>179</v>
      </c>
      <c r="D23" s="47">
        <v>1500000.0</v>
      </c>
      <c r="E23" s="47">
        <v>3000000.0</v>
      </c>
      <c r="F23" s="50" t="s">
        <v>181</v>
      </c>
      <c r="G23" s="60"/>
      <c r="H23" s="3"/>
    </row>
    <row r="24">
      <c r="A24" s="41">
        <v>3.0</v>
      </c>
      <c r="B24" s="33" t="s">
        <v>182</v>
      </c>
      <c r="C24" s="44" t="s">
        <v>60</v>
      </c>
      <c r="D24" s="47">
        <v>1000000.0</v>
      </c>
      <c r="E24" s="47">
        <v>1000000.0</v>
      </c>
      <c r="F24" s="50" t="s">
        <v>183</v>
      </c>
      <c r="G24" s="51"/>
      <c r="H24" s="3"/>
    </row>
    <row r="25">
      <c r="A25" s="77"/>
      <c r="B25" s="16" t="s">
        <v>161</v>
      </c>
      <c r="C25" s="71"/>
      <c r="D25" s="71"/>
      <c r="E25" s="73">
        <f>SUM(E18:E24)</f>
        <v>24900000</v>
      </c>
      <c r="F25" s="74"/>
      <c r="G25" s="74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61" t="s">
        <v>186</v>
      </c>
      <c r="C27" s="3"/>
      <c r="D27" s="3"/>
      <c r="E27" s="3"/>
      <c r="F27" s="3"/>
      <c r="G27" s="3"/>
      <c r="H27" s="3"/>
    </row>
    <row r="28">
      <c r="A28" s="3"/>
      <c r="B28" s="3" t="s">
        <v>187</v>
      </c>
      <c r="C28" s="3"/>
      <c r="D28" s="3"/>
      <c r="E28" s="3"/>
      <c r="F28" s="3"/>
      <c r="G28" s="3"/>
      <c r="H28" s="3"/>
    </row>
    <row r="29">
      <c r="A29" s="3"/>
      <c r="B29" s="3" t="s">
        <v>188</v>
      </c>
      <c r="C29" s="3"/>
      <c r="D29" s="3"/>
      <c r="E29" s="3"/>
      <c r="F29" s="3"/>
      <c r="G29" s="3"/>
      <c r="H29" s="3"/>
    </row>
    <row r="30">
      <c r="A30" s="3"/>
      <c r="B30" s="3" t="s">
        <v>189</v>
      </c>
      <c r="C30" s="3"/>
      <c r="D30" s="3"/>
      <c r="E30" s="3"/>
      <c r="F30" s="3"/>
      <c r="G30" s="3"/>
      <c r="H30" s="3"/>
    </row>
    <row r="31">
      <c r="A31" s="3"/>
      <c r="B31" s="3" t="s">
        <v>190</v>
      </c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</sheetData>
  <mergeCells count="13">
    <mergeCell ref="F19:G19"/>
    <mergeCell ref="F20:G20"/>
    <mergeCell ref="F21:G21"/>
    <mergeCell ref="F22:G22"/>
    <mergeCell ref="F23:G23"/>
    <mergeCell ref="F24:G24"/>
    <mergeCell ref="F6:G6"/>
    <mergeCell ref="F7:G7"/>
    <mergeCell ref="F8:G8"/>
    <mergeCell ref="F9:G9"/>
    <mergeCell ref="F10:G10"/>
    <mergeCell ref="F11:G11"/>
    <mergeCell ref="F18:G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43"/>
    <col customWidth="1" min="3" max="3" width="45.29"/>
  </cols>
  <sheetData>
    <row r="1">
      <c r="A1" s="3"/>
      <c r="B1" s="3"/>
      <c r="C1" s="61" t="s">
        <v>191</v>
      </c>
      <c r="D1" s="3"/>
    </row>
    <row r="2">
      <c r="A2" s="3"/>
      <c r="B2" s="3"/>
      <c r="C2" s="3"/>
      <c r="D2" s="3"/>
    </row>
    <row r="3">
      <c r="A3" s="2" t="s">
        <v>193</v>
      </c>
      <c r="B3" s="4"/>
      <c r="C3" s="4"/>
      <c r="D3" s="6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78"/>
    </row>
    <row r="17">
      <c r="A17" s="3"/>
    </row>
    <row r="18">
      <c r="A18" s="3"/>
    </row>
    <row r="19">
      <c r="A19" s="79" t="s">
        <v>6</v>
      </c>
      <c r="B19" s="79" t="s">
        <v>10</v>
      </c>
      <c r="C19" s="79" t="s">
        <v>195</v>
      </c>
    </row>
    <row r="20">
      <c r="A20" s="21">
        <v>1.0</v>
      </c>
      <c r="B20" s="24" t="s">
        <v>196</v>
      </c>
      <c r="C20" s="49" t="s">
        <v>197</v>
      </c>
      <c r="D20" s="3"/>
    </row>
    <row r="21">
      <c r="A21" s="21">
        <v>2.0</v>
      </c>
      <c r="B21" s="24" t="s">
        <v>199</v>
      </c>
      <c r="C21" s="49" t="s">
        <v>200</v>
      </c>
      <c r="D21" s="3"/>
    </row>
    <row r="22">
      <c r="A22" s="21">
        <v>3.0</v>
      </c>
      <c r="B22" s="24" t="s">
        <v>201</v>
      </c>
      <c r="C22" s="24" t="s">
        <v>202</v>
      </c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</sheetData>
  <mergeCells count="1">
    <mergeCell ref="A3:D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43"/>
    <col customWidth="1" min="3" max="3" width="15.71"/>
    <col customWidth="1" min="7" max="7" width="31.14"/>
  </cols>
  <sheetData>
    <row r="1">
      <c r="A1" s="2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209</v>
      </c>
      <c r="B3" s="4"/>
      <c r="C3" s="4"/>
      <c r="D3" s="4"/>
      <c r="E3" s="6"/>
      <c r="F3" s="3"/>
      <c r="G3" s="2" t="s">
        <v>210</v>
      </c>
      <c r="H3" s="4"/>
      <c r="I3" s="4"/>
      <c r="J3" s="4"/>
      <c r="K3" s="4"/>
      <c r="L3" s="6"/>
    </row>
    <row r="4">
      <c r="A4" s="3"/>
      <c r="B4" s="3"/>
      <c r="C4" s="3"/>
      <c r="D4" s="3"/>
      <c r="E4" s="12" t="s">
        <v>211</v>
      </c>
      <c r="F4" s="3"/>
      <c r="G4" s="3"/>
      <c r="H4" s="82"/>
      <c r="I4" s="82"/>
      <c r="J4" s="82"/>
      <c r="K4" s="82"/>
      <c r="L4" s="12" t="s">
        <v>211</v>
      </c>
    </row>
    <row r="5">
      <c r="A5" s="14" t="s">
        <v>6</v>
      </c>
      <c r="B5" s="14" t="s">
        <v>212</v>
      </c>
      <c r="C5" s="18" t="s">
        <v>213</v>
      </c>
      <c r="D5" s="14" t="s">
        <v>214</v>
      </c>
      <c r="E5" s="14" t="s">
        <v>161</v>
      </c>
      <c r="F5" s="3"/>
      <c r="G5" s="86" t="s">
        <v>215</v>
      </c>
      <c r="H5" s="87" t="s">
        <v>216</v>
      </c>
      <c r="I5" s="87" t="s">
        <v>218</v>
      </c>
      <c r="J5" s="87" t="s">
        <v>219</v>
      </c>
      <c r="K5" s="88" t="s">
        <v>220</v>
      </c>
      <c r="L5" s="86" t="s">
        <v>224</v>
      </c>
    </row>
    <row r="6">
      <c r="A6" s="28">
        <v>1.0</v>
      </c>
      <c r="B6" s="24" t="s">
        <v>226</v>
      </c>
      <c r="C6" s="21">
        <v>1.0</v>
      </c>
      <c r="D6" s="69"/>
      <c r="E6" s="69"/>
      <c r="F6" s="3"/>
      <c r="G6" s="69" t="str">
        <f>E6</f>
        <v/>
      </c>
      <c r="H6" s="34">
        <f t="shared" ref="H6:H10" si="1">C6*G6*$H$15</f>
        <v>0</v>
      </c>
      <c r="I6" s="34">
        <f t="shared" ref="I6:I10" si="2">C6*G6*$I$15</f>
        <v>0</v>
      </c>
      <c r="J6" s="34">
        <f t="shared" ref="J6:J10" si="3">C6*G6*$J$15</f>
        <v>0</v>
      </c>
      <c r="K6" s="34">
        <f t="shared" ref="K6:K10" si="4">C6*G6*$K$15</f>
        <v>0</v>
      </c>
      <c r="L6" s="89">
        <f t="shared" ref="L6:L12" si="5">SUM(H6:K6)</f>
        <v>0</v>
      </c>
    </row>
    <row r="7">
      <c r="A7" s="28">
        <v>2.0</v>
      </c>
      <c r="B7" s="24" t="s">
        <v>232</v>
      </c>
      <c r="C7" s="21">
        <v>1.0</v>
      </c>
      <c r="D7" s="34">
        <v>7000000.0</v>
      </c>
      <c r="E7" s="34">
        <f t="shared" ref="E7:E8" si="6">C7*D7</f>
        <v>7000000</v>
      </c>
      <c r="F7" s="3"/>
      <c r="G7" s="34">
        <f>D7</f>
        <v>7000000</v>
      </c>
      <c r="H7" s="34">
        <f t="shared" si="1"/>
        <v>1225000</v>
      </c>
      <c r="I7" s="34">
        <f t="shared" si="2"/>
        <v>210000</v>
      </c>
      <c r="J7" s="34">
        <f t="shared" si="3"/>
        <v>70000</v>
      </c>
      <c r="K7" s="34">
        <f t="shared" si="4"/>
        <v>140000</v>
      </c>
      <c r="L7" s="89">
        <f t="shared" si="5"/>
        <v>1645000</v>
      </c>
    </row>
    <row r="8">
      <c r="A8" s="28">
        <v>3.0</v>
      </c>
      <c r="B8" s="24" t="s">
        <v>233</v>
      </c>
      <c r="C8" s="21">
        <v>1.0</v>
      </c>
      <c r="D8" s="34">
        <v>6000000.0</v>
      </c>
      <c r="E8" s="34">
        <f t="shared" si="6"/>
        <v>6000000</v>
      </c>
      <c r="F8" s="3"/>
      <c r="G8" s="34">
        <v>6000000.0</v>
      </c>
      <c r="H8" s="34">
        <f t="shared" si="1"/>
        <v>1050000</v>
      </c>
      <c r="I8" s="34">
        <f t="shared" si="2"/>
        <v>180000</v>
      </c>
      <c r="J8" s="34">
        <f t="shared" si="3"/>
        <v>60000</v>
      </c>
      <c r="K8" s="34">
        <f t="shared" si="4"/>
        <v>120000</v>
      </c>
      <c r="L8" s="89">
        <f t="shared" si="5"/>
        <v>1410000</v>
      </c>
    </row>
    <row r="9">
      <c r="A9" s="28">
        <v>4.0</v>
      </c>
      <c r="B9" s="24" t="s">
        <v>234</v>
      </c>
      <c r="C9" s="21">
        <v>1.0</v>
      </c>
      <c r="D9" s="34">
        <v>5000000.0</v>
      </c>
      <c r="E9" s="34">
        <f>C10*D10</f>
        <v>5000000</v>
      </c>
      <c r="F9" s="3"/>
      <c r="G9" s="90">
        <v>5000000.0</v>
      </c>
      <c r="H9" s="34">
        <f t="shared" si="1"/>
        <v>875000</v>
      </c>
      <c r="I9" s="34">
        <f t="shared" si="2"/>
        <v>150000</v>
      </c>
      <c r="J9" s="34">
        <f t="shared" si="3"/>
        <v>50000</v>
      </c>
      <c r="K9" s="34">
        <f t="shared" si="4"/>
        <v>100000</v>
      </c>
      <c r="L9" s="89">
        <f t="shared" si="5"/>
        <v>1175000</v>
      </c>
    </row>
    <row r="10">
      <c r="A10" s="28">
        <v>5.0</v>
      </c>
      <c r="B10" s="24" t="s">
        <v>237</v>
      </c>
      <c r="C10" s="21">
        <v>1.0</v>
      </c>
      <c r="D10" s="34">
        <v>5000000.0</v>
      </c>
      <c r="E10" s="34">
        <f t="shared" ref="E10:E12" si="7">C10*D10</f>
        <v>5000000</v>
      </c>
      <c r="F10" s="3"/>
      <c r="G10" s="90">
        <v>5000000.0</v>
      </c>
      <c r="H10" s="34">
        <f t="shared" si="1"/>
        <v>875000</v>
      </c>
      <c r="I10" s="34">
        <f t="shared" si="2"/>
        <v>150000</v>
      </c>
      <c r="J10" s="34">
        <f t="shared" si="3"/>
        <v>50000</v>
      </c>
      <c r="K10" s="34">
        <f t="shared" si="4"/>
        <v>100000</v>
      </c>
      <c r="L10" s="89">
        <f t="shared" si="5"/>
        <v>1175000</v>
      </c>
    </row>
    <row r="11">
      <c r="A11" s="28">
        <v>6.0</v>
      </c>
      <c r="B11" s="92" t="s">
        <v>238</v>
      </c>
      <c r="C11" s="21">
        <v>1.0</v>
      </c>
      <c r="D11" s="90">
        <v>6000000.0</v>
      </c>
      <c r="E11" s="34">
        <f t="shared" si="7"/>
        <v>6000000</v>
      </c>
      <c r="F11" s="3"/>
      <c r="G11" s="90">
        <v>6000000.0</v>
      </c>
      <c r="H11" s="34">
        <f t="shared" ref="H11:H12" si="8">C10*G11*$H$15</f>
        <v>1050000</v>
      </c>
      <c r="I11" s="34">
        <f t="shared" ref="I11:I12" si="9">C10*G11*$I$15</f>
        <v>180000</v>
      </c>
      <c r="J11" s="34">
        <f t="shared" ref="J11:J12" si="10">C10*G11*$J$15</f>
        <v>60000</v>
      </c>
      <c r="K11" s="34">
        <f t="shared" ref="K11:K12" si="11">C10*G11*$K$15</f>
        <v>120000</v>
      </c>
      <c r="L11" s="89">
        <f t="shared" si="5"/>
        <v>1410000</v>
      </c>
    </row>
    <row r="12">
      <c r="A12" s="28">
        <v>7.0</v>
      </c>
      <c r="B12" s="92" t="s">
        <v>240</v>
      </c>
      <c r="C12" s="21">
        <v>1.0</v>
      </c>
      <c r="D12" s="90">
        <v>6000000.0</v>
      </c>
      <c r="E12" s="34">
        <f t="shared" si="7"/>
        <v>6000000</v>
      </c>
      <c r="F12" s="3"/>
      <c r="G12" s="90">
        <v>6000000.0</v>
      </c>
      <c r="H12" s="34">
        <f t="shared" si="8"/>
        <v>1050000</v>
      </c>
      <c r="I12" s="34">
        <f t="shared" si="9"/>
        <v>180000</v>
      </c>
      <c r="J12" s="34">
        <f t="shared" si="10"/>
        <v>60000</v>
      </c>
      <c r="K12" s="34">
        <f t="shared" si="11"/>
        <v>120000</v>
      </c>
      <c r="L12" s="89">
        <f t="shared" si="5"/>
        <v>1410000</v>
      </c>
    </row>
    <row r="13">
      <c r="A13" s="77"/>
      <c r="B13" s="16" t="s">
        <v>161</v>
      </c>
      <c r="C13" s="93">
        <f>SUM(C6:C12)</f>
        <v>7</v>
      </c>
      <c r="D13" s="77"/>
      <c r="E13" s="73">
        <f>SUM(E7:E12)</f>
        <v>35000000</v>
      </c>
      <c r="F13" s="3"/>
      <c r="G13" s="92"/>
      <c r="H13" s="96">
        <f t="shared" ref="H13:L13" si="12">SUM(H6:H12)</f>
        <v>6125000</v>
      </c>
      <c r="I13" s="96">
        <f t="shared" si="12"/>
        <v>1050000</v>
      </c>
      <c r="J13" s="96">
        <f t="shared" si="12"/>
        <v>350000</v>
      </c>
      <c r="K13" s="96">
        <f t="shared" si="12"/>
        <v>700000</v>
      </c>
      <c r="L13" s="96">
        <f t="shared" si="12"/>
        <v>8225000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99" t="s">
        <v>243</v>
      </c>
      <c r="H15" s="102">
        <v>0.175</v>
      </c>
      <c r="I15" s="102">
        <v>0.03</v>
      </c>
      <c r="J15" s="102">
        <v>0.01</v>
      </c>
      <c r="K15" s="103">
        <v>0.02</v>
      </c>
      <c r="L15" s="10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 t="s">
        <v>244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 t="s">
        <v>245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 t="s">
        <v>246</v>
      </c>
      <c r="I19" s="3"/>
      <c r="J19" s="3"/>
      <c r="K19" s="3"/>
      <c r="L19" s="3"/>
    </row>
    <row r="20">
      <c r="A20" s="3"/>
      <c r="B20" s="109" t="s">
        <v>247</v>
      </c>
      <c r="C20" s="110">
        <v>4730000.0</v>
      </c>
      <c r="D20" s="111" t="s">
        <v>257</v>
      </c>
      <c r="E20" s="3"/>
      <c r="F20" s="3"/>
      <c r="G20" s="3"/>
      <c r="H20" s="112" t="s">
        <v>261</v>
      </c>
    </row>
    <row r="21">
      <c r="A21" s="3"/>
      <c r="B21" s="109" t="s">
        <v>262</v>
      </c>
      <c r="C21" s="110">
        <v>180000.0</v>
      </c>
      <c r="D21" s="111" t="s">
        <v>263</v>
      </c>
      <c r="E21" s="3"/>
      <c r="F21" s="3"/>
      <c r="G21" s="3"/>
      <c r="H21" s="112" t="s">
        <v>264</v>
      </c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mergeCells count="5">
    <mergeCell ref="A1:L1"/>
    <mergeCell ref="A3:E3"/>
    <mergeCell ref="G3:L3"/>
    <mergeCell ref="H20:L20"/>
    <mergeCell ref="H21:L21"/>
  </mergeCells>
  <hyperlinks>
    <hyperlink r:id="rId1" ref="H20"/>
    <hyperlink r:id="rId2" ref="H21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</row>
    <row r="2">
      <c r="A2" s="2" t="s">
        <v>235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91" t="s">
        <v>236</v>
      </c>
      <c r="AG2" s="91" t="s">
        <v>236</v>
      </c>
      <c r="AW2" s="91" t="s">
        <v>236</v>
      </c>
      <c r="BM2" s="91" t="s">
        <v>236</v>
      </c>
      <c r="CC2" s="91" t="s">
        <v>236</v>
      </c>
      <c r="CS2" s="91" t="s">
        <v>236</v>
      </c>
      <c r="DI2" s="91" t="s">
        <v>236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</row>
    <row r="4">
      <c r="A4" s="94" t="s">
        <v>10</v>
      </c>
      <c r="B4" s="95"/>
      <c r="C4" s="97"/>
      <c r="D4" s="98" t="s">
        <v>241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5"/>
      <c r="P4" s="100" t="s">
        <v>242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</row>
    <row r="5">
      <c r="A5" s="107"/>
      <c r="B5" s="108"/>
      <c r="C5" s="63"/>
      <c r="D5" s="14" t="s">
        <v>248</v>
      </c>
      <c r="E5" s="14" t="s">
        <v>249</v>
      </c>
      <c r="F5" s="14" t="s">
        <v>250</v>
      </c>
      <c r="G5" s="14" t="s">
        <v>251</v>
      </c>
      <c r="H5" s="14" t="s">
        <v>252</v>
      </c>
      <c r="I5" s="14" t="s">
        <v>253</v>
      </c>
      <c r="J5" s="14" t="s">
        <v>254</v>
      </c>
      <c r="K5" s="14" t="s">
        <v>255</v>
      </c>
      <c r="L5" s="14" t="s">
        <v>256</v>
      </c>
      <c r="M5" s="14" t="s">
        <v>258</v>
      </c>
      <c r="N5" s="14" t="s">
        <v>259</v>
      </c>
      <c r="O5" s="14" t="s">
        <v>260</v>
      </c>
      <c r="P5" s="6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</row>
    <row r="6">
      <c r="A6" s="113">
        <v>1.0</v>
      </c>
      <c r="B6" s="115" t="s">
        <v>35</v>
      </c>
      <c r="C6" s="117" t="s">
        <v>213</v>
      </c>
      <c r="D6" s="119">
        <v>33.0</v>
      </c>
      <c r="E6" s="119">
        <v>35.0</v>
      </c>
      <c r="F6" s="119">
        <v>28.0</v>
      </c>
      <c r="G6" s="119">
        <v>25.0</v>
      </c>
      <c r="H6" s="119">
        <v>28.0</v>
      </c>
      <c r="I6" s="119">
        <v>35.0</v>
      </c>
      <c r="J6" s="119">
        <v>26.0</v>
      </c>
      <c r="K6" s="119">
        <v>28.0</v>
      </c>
      <c r="L6" s="119">
        <v>38.0</v>
      </c>
      <c r="M6" s="119">
        <v>30.0</v>
      </c>
      <c r="N6" s="119">
        <v>32.0</v>
      </c>
      <c r="O6" s="119">
        <v>35.0</v>
      </c>
      <c r="P6" s="121">
        <f>SUM(D6:O6)</f>
        <v>373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</row>
    <row r="7">
      <c r="A7" s="122"/>
      <c r="B7" s="122"/>
      <c r="C7" s="123" t="s">
        <v>23</v>
      </c>
      <c r="D7" s="124">
        <f>'2.Giá'!E5</f>
        <v>259000</v>
      </c>
      <c r="E7" s="124">
        <f>'2.Giá'!$E$5</f>
        <v>259000</v>
      </c>
      <c r="F7" s="124">
        <f>'2.Giá'!$E$5</f>
        <v>259000</v>
      </c>
      <c r="G7" s="124">
        <f>'2.Giá'!$E$5</f>
        <v>259000</v>
      </c>
      <c r="H7" s="124">
        <f>'2.Giá'!$E$5</f>
        <v>259000</v>
      </c>
      <c r="I7" s="124">
        <f>'2.Giá'!$E$5</f>
        <v>259000</v>
      </c>
      <c r="J7" s="124">
        <f>'2.Giá'!$E$5</f>
        <v>259000</v>
      </c>
      <c r="K7" s="124">
        <f>'2.Giá'!$E$5</f>
        <v>259000</v>
      </c>
      <c r="L7" s="124">
        <f>'2.Giá'!$E$5</f>
        <v>259000</v>
      </c>
      <c r="M7" s="124">
        <f>'2.Giá'!$E$5</f>
        <v>259000</v>
      </c>
      <c r="N7" s="124">
        <f>'2.Giá'!$E$5</f>
        <v>259000</v>
      </c>
      <c r="O7" s="124">
        <f>'2.Giá'!$E$5</f>
        <v>259000</v>
      </c>
      <c r="P7" s="130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</row>
    <row r="8">
      <c r="A8" s="62"/>
      <c r="B8" s="62"/>
      <c r="C8" s="133" t="s">
        <v>280</v>
      </c>
      <c r="D8" s="135">
        <f t="shared" ref="D8:O8" si="1">D6*D7</f>
        <v>8547000</v>
      </c>
      <c r="E8" s="135">
        <f t="shared" si="1"/>
        <v>9065000</v>
      </c>
      <c r="F8" s="135">
        <f t="shared" si="1"/>
        <v>7252000</v>
      </c>
      <c r="G8" s="135">
        <f t="shared" si="1"/>
        <v>6475000</v>
      </c>
      <c r="H8" s="135">
        <f t="shared" si="1"/>
        <v>7252000</v>
      </c>
      <c r="I8" s="135">
        <f t="shared" si="1"/>
        <v>9065000</v>
      </c>
      <c r="J8" s="135">
        <f t="shared" si="1"/>
        <v>6734000</v>
      </c>
      <c r="K8" s="135">
        <f t="shared" si="1"/>
        <v>7252000</v>
      </c>
      <c r="L8" s="135">
        <f t="shared" si="1"/>
        <v>9842000</v>
      </c>
      <c r="M8" s="135">
        <f t="shared" si="1"/>
        <v>7770000</v>
      </c>
      <c r="N8" s="135">
        <f t="shared" si="1"/>
        <v>8288000</v>
      </c>
      <c r="O8" s="135">
        <f t="shared" si="1"/>
        <v>9065000</v>
      </c>
      <c r="P8" s="121">
        <f t="shared" ref="P8:P9" si="2">SUM(D8:O8)</f>
        <v>96607000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</row>
    <row r="9">
      <c r="A9" s="113">
        <v>2.0</v>
      </c>
      <c r="B9" s="115" t="str">
        <f>'2.Giá'!B6</f>
        <v>Bộ khối lắp ráp</v>
      </c>
      <c r="C9" s="117" t="s">
        <v>213</v>
      </c>
      <c r="D9" s="119">
        <v>32.0</v>
      </c>
      <c r="E9" s="119">
        <v>35.0</v>
      </c>
      <c r="F9" s="119">
        <v>25.0</v>
      </c>
      <c r="G9" s="119">
        <v>22.0</v>
      </c>
      <c r="H9" s="119">
        <v>25.0</v>
      </c>
      <c r="I9" s="119">
        <v>32.0</v>
      </c>
      <c r="J9" s="119">
        <v>23.0</v>
      </c>
      <c r="K9" s="119">
        <v>25.0</v>
      </c>
      <c r="L9" s="119">
        <v>36.0</v>
      </c>
      <c r="M9" s="119">
        <v>29.0</v>
      </c>
      <c r="N9" s="119">
        <v>31.0</v>
      </c>
      <c r="O9" s="119">
        <v>34.0</v>
      </c>
      <c r="P9" s="121">
        <f t="shared" si="2"/>
        <v>349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</row>
    <row r="10">
      <c r="A10" s="122"/>
      <c r="B10" s="122"/>
      <c r="C10" s="123" t="s">
        <v>23</v>
      </c>
      <c r="D10" s="124">
        <f>'2.Giá'!$E$6</f>
        <v>189000</v>
      </c>
      <c r="E10" s="124">
        <f>'2.Giá'!$E$6</f>
        <v>189000</v>
      </c>
      <c r="F10" s="124">
        <f>'2.Giá'!$E$6</f>
        <v>189000</v>
      </c>
      <c r="G10" s="124">
        <f>'2.Giá'!$E$6</f>
        <v>189000</v>
      </c>
      <c r="H10" s="124">
        <f>'2.Giá'!$E$6</f>
        <v>189000</v>
      </c>
      <c r="I10" s="124">
        <f>'2.Giá'!$E$6</f>
        <v>189000</v>
      </c>
      <c r="J10" s="124">
        <f>'2.Giá'!$E$6</f>
        <v>189000</v>
      </c>
      <c r="K10" s="124">
        <f>'2.Giá'!$E$6</f>
        <v>189000</v>
      </c>
      <c r="L10" s="124">
        <f>'2.Giá'!$E$6</f>
        <v>189000</v>
      </c>
      <c r="M10" s="124">
        <f>'2.Giá'!$E$6</f>
        <v>189000</v>
      </c>
      <c r="N10" s="124">
        <f>'2.Giá'!$E$6</f>
        <v>189000</v>
      </c>
      <c r="O10" s="124">
        <f>'2.Giá'!$E$6</f>
        <v>189000</v>
      </c>
      <c r="P10" s="130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</row>
    <row r="11">
      <c r="A11" s="62"/>
      <c r="B11" s="62"/>
      <c r="C11" s="133" t="s">
        <v>280</v>
      </c>
      <c r="D11" s="135">
        <f t="shared" ref="D11:O11" si="3">D9*D10</f>
        <v>6048000</v>
      </c>
      <c r="E11" s="135">
        <f t="shared" si="3"/>
        <v>6615000</v>
      </c>
      <c r="F11" s="135">
        <f t="shared" si="3"/>
        <v>4725000</v>
      </c>
      <c r="G11" s="135">
        <f t="shared" si="3"/>
        <v>4158000</v>
      </c>
      <c r="H11" s="135">
        <f t="shared" si="3"/>
        <v>4725000</v>
      </c>
      <c r="I11" s="135">
        <f t="shared" si="3"/>
        <v>6048000</v>
      </c>
      <c r="J11" s="135">
        <f t="shared" si="3"/>
        <v>4347000</v>
      </c>
      <c r="K11" s="135">
        <f t="shared" si="3"/>
        <v>4725000</v>
      </c>
      <c r="L11" s="135">
        <f t="shared" si="3"/>
        <v>6804000</v>
      </c>
      <c r="M11" s="135">
        <f t="shared" si="3"/>
        <v>5481000</v>
      </c>
      <c r="N11" s="135">
        <f t="shared" si="3"/>
        <v>5859000</v>
      </c>
      <c r="O11" s="135">
        <f t="shared" si="3"/>
        <v>6426000</v>
      </c>
      <c r="P11" s="121">
        <f t="shared" ref="P11:P12" si="4">SUM(D11:O11)</f>
        <v>65961000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</row>
    <row r="12">
      <c r="A12" s="113">
        <v>3.0</v>
      </c>
      <c r="B12" s="115" t="s">
        <v>57</v>
      </c>
      <c r="C12" s="117" t="s">
        <v>213</v>
      </c>
      <c r="D12" s="119">
        <v>26.0</v>
      </c>
      <c r="E12" s="119">
        <v>32.0</v>
      </c>
      <c r="F12" s="119">
        <v>22.0</v>
      </c>
      <c r="G12" s="119">
        <v>20.0</v>
      </c>
      <c r="H12" s="119">
        <v>22.0</v>
      </c>
      <c r="I12" s="119">
        <v>35.0</v>
      </c>
      <c r="J12" s="119">
        <v>20.0</v>
      </c>
      <c r="K12" s="119">
        <v>22.0</v>
      </c>
      <c r="L12" s="119">
        <v>45.0</v>
      </c>
      <c r="M12" s="119">
        <v>24.0</v>
      </c>
      <c r="N12" s="119">
        <v>26.0</v>
      </c>
      <c r="O12" s="119">
        <v>28.0</v>
      </c>
      <c r="P12" s="121">
        <f t="shared" si="4"/>
        <v>322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</row>
    <row r="13">
      <c r="A13" s="122"/>
      <c r="B13" s="122"/>
      <c r="C13" s="123" t="s">
        <v>23</v>
      </c>
      <c r="D13" s="124">
        <f>'2.Giá'!$E$7</f>
        <v>139000</v>
      </c>
      <c r="E13" s="124">
        <f>'2.Giá'!$E$7</f>
        <v>139000</v>
      </c>
      <c r="F13" s="124">
        <f>'2.Giá'!$E$7</f>
        <v>139000</v>
      </c>
      <c r="G13" s="124">
        <f>'2.Giá'!$E$7</f>
        <v>139000</v>
      </c>
      <c r="H13" s="124">
        <f>'2.Giá'!$E$7</f>
        <v>139000</v>
      </c>
      <c r="I13" s="124">
        <f>'2.Giá'!$E$7</f>
        <v>139000</v>
      </c>
      <c r="J13" s="124">
        <f>'2.Giá'!$E$7</f>
        <v>139000</v>
      </c>
      <c r="K13" s="124">
        <f>'2.Giá'!$E$7</f>
        <v>139000</v>
      </c>
      <c r="L13" s="124">
        <f>'2.Giá'!$E$7</f>
        <v>139000</v>
      </c>
      <c r="M13" s="124">
        <f>'2.Giá'!$E$7</f>
        <v>139000</v>
      </c>
      <c r="N13" s="124">
        <f>'2.Giá'!$E$7</f>
        <v>139000</v>
      </c>
      <c r="O13" s="124">
        <f>'2.Giá'!$E$7</f>
        <v>139000</v>
      </c>
      <c r="P13" s="130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</row>
    <row r="14">
      <c r="A14" s="62"/>
      <c r="B14" s="62"/>
      <c r="C14" s="133" t="s">
        <v>280</v>
      </c>
      <c r="D14" s="135">
        <f t="shared" ref="D14:O14" si="5">D12*D13</f>
        <v>3614000</v>
      </c>
      <c r="E14" s="135">
        <f t="shared" si="5"/>
        <v>4448000</v>
      </c>
      <c r="F14" s="135">
        <f t="shared" si="5"/>
        <v>3058000</v>
      </c>
      <c r="G14" s="135">
        <f t="shared" si="5"/>
        <v>2780000</v>
      </c>
      <c r="H14" s="135">
        <f t="shared" si="5"/>
        <v>3058000</v>
      </c>
      <c r="I14" s="135">
        <f t="shared" si="5"/>
        <v>4865000</v>
      </c>
      <c r="J14" s="135">
        <f t="shared" si="5"/>
        <v>2780000</v>
      </c>
      <c r="K14" s="135">
        <f t="shared" si="5"/>
        <v>3058000</v>
      </c>
      <c r="L14" s="135">
        <f t="shared" si="5"/>
        <v>6255000</v>
      </c>
      <c r="M14" s="135">
        <f t="shared" si="5"/>
        <v>3336000</v>
      </c>
      <c r="N14" s="135">
        <f t="shared" si="5"/>
        <v>3614000</v>
      </c>
      <c r="O14" s="135">
        <f t="shared" si="5"/>
        <v>3892000</v>
      </c>
      <c r="P14" s="121">
        <f t="shared" ref="P14:P15" si="6">SUM(D14:O14)</f>
        <v>44758000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</row>
    <row r="15">
      <c r="A15" s="113">
        <v>4.0</v>
      </c>
      <c r="B15" s="115" t="s">
        <v>76</v>
      </c>
      <c r="C15" s="117" t="s">
        <v>213</v>
      </c>
      <c r="D15" s="119">
        <v>52.0</v>
      </c>
      <c r="E15" s="119">
        <v>55.0</v>
      </c>
      <c r="F15" s="119">
        <v>50.0</v>
      </c>
      <c r="G15" s="119">
        <v>50.0</v>
      </c>
      <c r="H15" s="119">
        <v>50.0</v>
      </c>
      <c r="I15" s="119">
        <v>55.0</v>
      </c>
      <c r="J15" s="119">
        <v>50.0</v>
      </c>
      <c r="K15" s="119">
        <v>52.0</v>
      </c>
      <c r="L15" s="119">
        <v>55.0</v>
      </c>
      <c r="M15" s="119">
        <v>52.0</v>
      </c>
      <c r="N15" s="119">
        <v>55.0</v>
      </c>
      <c r="O15" s="119">
        <v>55.0</v>
      </c>
      <c r="P15" s="121">
        <f t="shared" si="6"/>
        <v>631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</row>
    <row r="16">
      <c r="A16" s="122"/>
      <c r="B16" s="122"/>
      <c r="C16" s="123" t="s">
        <v>23</v>
      </c>
      <c r="D16" s="124">
        <f>'2.Giá'!$E$8</f>
        <v>950000</v>
      </c>
      <c r="E16" s="124">
        <f>'2.Giá'!$E$8</f>
        <v>950000</v>
      </c>
      <c r="F16" s="124">
        <f>'2.Giá'!$E$8</f>
        <v>950000</v>
      </c>
      <c r="G16" s="124">
        <f>'2.Giá'!$E$8</f>
        <v>950000</v>
      </c>
      <c r="H16" s="124">
        <f>'2.Giá'!$E$8</f>
        <v>950000</v>
      </c>
      <c r="I16" s="124">
        <f>'2.Giá'!$E$8</f>
        <v>950000</v>
      </c>
      <c r="J16" s="124">
        <f>'2.Giá'!$E$8</f>
        <v>950000</v>
      </c>
      <c r="K16" s="124">
        <f>'2.Giá'!$E$8</f>
        <v>950000</v>
      </c>
      <c r="L16" s="124">
        <f>'2.Giá'!$E$8</f>
        <v>950000</v>
      </c>
      <c r="M16" s="124">
        <f>'2.Giá'!$E$8</f>
        <v>950000</v>
      </c>
      <c r="N16" s="124">
        <f>'2.Giá'!$E$8</f>
        <v>950000</v>
      </c>
      <c r="O16" s="124">
        <f>'2.Giá'!$E$8</f>
        <v>950000</v>
      </c>
      <c r="P16" s="130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</row>
    <row r="17">
      <c r="A17" s="62"/>
      <c r="B17" s="62"/>
      <c r="C17" s="133" t="s">
        <v>280</v>
      </c>
      <c r="D17" s="135">
        <f t="shared" ref="D17:O17" si="7">D15*D16</f>
        <v>49400000</v>
      </c>
      <c r="E17" s="135">
        <f t="shared" si="7"/>
        <v>52250000</v>
      </c>
      <c r="F17" s="135">
        <f t="shared" si="7"/>
        <v>47500000</v>
      </c>
      <c r="G17" s="135">
        <f t="shared" si="7"/>
        <v>47500000</v>
      </c>
      <c r="H17" s="135">
        <f t="shared" si="7"/>
        <v>47500000</v>
      </c>
      <c r="I17" s="135">
        <f t="shared" si="7"/>
        <v>52250000</v>
      </c>
      <c r="J17" s="135">
        <f t="shared" si="7"/>
        <v>47500000</v>
      </c>
      <c r="K17" s="135">
        <f t="shared" si="7"/>
        <v>49400000</v>
      </c>
      <c r="L17" s="135">
        <f t="shared" si="7"/>
        <v>52250000</v>
      </c>
      <c r="M17" s="135">
        <f t="shared" si="7"/>
        <v>49400000</v>
      </c>
      <c r="N17" s="135">
        <f t="shared" si="7"/>
        <v>52250000</v>
      </c>
      <c r="O17" s="135">
        <f t="shared" si="7"/>
        <v>52250000</v>
      </c>
      <c r="P17" s="121">
        <f t="shared" ref="P17:P18" si="8">SUM(D17:O17)</f>
        <v>599450000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</row>
    <row r="18">
      <c r="A18" s="113">
        <v>5.0</v>
      </c>
      <c r="B18" s="115" t="s">
        <v>68</v>
      </c>
      <c r="C18" s="117" t="s">
        <v>213</v>
      </c>
      <c r="D18" s="119">
        <v>30.0</v>
      </c>
      <c r="E18" s="119">
        <v>32.0</v>
      </c>
      <c r="F18" s="119">
        <v>25.0</v>
      </c>
      <c r="G18" s="119">
        <v>25.0</v>
      </c>
      <c r="H18" s="119">
        <v>26.0</v>
      </c>
      <c r="I18" s="119">
        <v>30.0</v>
      </c>
      <c r="J18" s="119">
        <v>25.0</v>
      </c>
      <c r="K18" s="119">
        <v>28.0</v>
      </c>
      <c r="L18" s="119">
        <v>32.0</v>
      </c>
      <c r="M18" s="119">
        <v>28.0</v>
      </c>
      <c r="N18" s="119">
        <v>32.0</v>
      </c>
      <c r="O18" s="119">
        <v>34.0</v>
      </c>
      <c r="P18" s="121">
        <f t="shared" si="8"/>
        <v>347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</row>
    <row r="19">
      <c r="A19" s="122"/>
      <c r="B19" s="122"/>
      <c r="C19" s="123" t="s">
        <v>23</v>
      </c>
      <c r="D19" s="124">
        <f>'2.Giá'!$E$9</f>
        <v>420000</v>
      </c>
      <c r="E19" s="124">
        <f>'2.Giá'!$E$9</f>
        <v>420000</v>
      </c>
      <c r="F19" s="124">
        <f>'2.Giá'!$E$9</f>
        <v>420000</v>
      </c>
      <c r="G19" s="124">
        <f>'2.Giá'!$E$9</f>
        <v>420000</v>
      </c>
      <c r="H19" s="124">
        <f>'2.Giá'!$E$9</f>
        <v>420000</v>
      </c>
      <c r="I19" s="124">
        <f>'2.Giá'!$E$9</f>
        <v>420000</v>
      </c>
      <c r="J19" s="124">
        <f>'2.Giá'!$E$9</f>
        <v>420000</v>
      </c>
      <c r="K19" s="124">
        <f>'2.Giá'!$E$9</f>
        <v>420000</v>
      </c>
      <c r="L19" s="124">
        <f>'2.Giá'!$E$9</f>
        <v>420000</v>
      </c>
      <c r="M19" s="124">
        <f>'2.Giá'!$E$9</f>
        <v>420000</v>
      </c>
      <c r="N19" s="124">
        <f>'2.Giá'!$E$9</f>
        <v>420000</v>
      </c>
      <c r="O19" s="124">
        <f>'2.Giá'!$E$9</f>
        <v>420000</v>
      </c>
      <c r="P19" s="130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</row>
    <row r="20">
      <c r="A20" s="62"/>
      <c r="B20" s="62"/>
      <c r="C20" s="133" t="s">
        <v>280</v>
      </c>
      <c r="D20" s="135">
        <f t="shared" ref="D20:O20" si="9">D18*D19</f>
        <v>12600000</v>
      </c>
      <c r="E20" s="135">
        <f t="shared" si="9"/>
        <v>13440000</v>
      </c>
      <c r="F20" s="135">
        <f t="shared" si="9"/>
        <v>10500000</v>
      </c>
      <c r="G20" s="135">
        <f t="shared" si="9"/>
        <v>10500000</v>
      </c>
      <c r="H20" s="135">
        <f t="shared" si="9"/>
        <v>10920000</v>
      </c>
      <c r="I20" s="135">
        <f t="shared" si="9"/>
        <v>12600000</v>
      </c>
      <c r="J20" s="135">
        <f t="shared" si="9"/>
        <v>10500000</v>
      </c>
      <c r="K20" s="135">
        <f t="shared" si="9"/>
        <v>11760000</v>
      </c>
      <c r="L20" s="135">
        <f t="shared" si="9"/>
        <v>13440000</v>
      </c>
      <c r="M20" s="135">
        <f t="shared" si="9"/>
        <v>11760000</v>
      </c>
      <c r="N20" s="135">
        <f t="shared" si="9"/>
        <v>13440000</v>
      </c>
      <c r="O20" s="135">
        <f t="shared" si="9"/>
        <v>14280000</v>
      </c>
      <c r="P20" s="121">
        <f t="shared" ref="P20:P21" si="10">SUM(D20:O20)</f>
        <v>145740000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</row>
    <row r="21">
      <c r="A21" s="113">
        <v>6.0</v>
      </c>
      <c r="B21" s="115" t="s">
        <v>86</v>
      </c>
      <c r="C21" s="117" t="s">
        <v>213</v>
      </c>
      <c r="D21" s="119">
        <v>32.0</v>
      </c>
      <c r="E21" s="119">
        <v>35.0</v>
      </c>
      <c r="F21" s="119">
        <v>24.0</v>
      </c>
      <c r="G21" s="119">
        <v>22.0</v>
      </c>
      <c r="H21" s="119">
        <v>24.0</v>
      </c>
      <c r="I21" s="119">
        <v>30.0</v>
      </c>
      <c r="J21" s="119">
        <v>24.0</v>
      </c>
      <c r="K21" s="119">
        <v>27.0</v>
      </c>
      <c r="L21" s="119">
        <v>32.0</v>
      </c>
      <c r="M21" s="119">
        <v>29.0</v>
      </c>
      <c r="N21" s="119">
        <v>33.0</v>
      </c>
      <c r="O21" s="119">
        <v>35.0</v>
      </c>
      <c r="P21" s="121">
        <f t="shared" si="10"/>
        <v>347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</row>
    <row r="22">
      <c r="A22" s="122"/>
      <c r="B22" s="122"/>
      <c r="C22" s="123" t="s">
        <v>23</v>
      </c>
      <c r="D22" s="124">
        <f>'2.Giá'!$E$10</f>
        <v>185000</v>
      </c>
      <c r="E22" s="124">
        <f>'2.Giá'!$E$10</f>
        <v>185000</v>
      </c>
      <c r="F22" s="124">
        <f>'2.Giá'!$E$10</f>
        <v>185000</v>
      </c>
      <c r="G22" s="124">
        <f>'2.Giá'!$E$10</f>
        <v>185000</v>
      </c>
      <c r="H22" s="124">
        <f>'2.Giá'!$E$10</f>
        <v>185000</v>
      </c>
      <c r="I22" s="124">
        <f>'2.Giá'!$E$10</f>
        <v>185000</v>
      </c>
      <c r="J22" s="124">
        <v>185000.0</v>
      </c>
      <c r="K22" s="124">
        <f>'2.Giá'!$E$10</f>
        <v>185000</v>
      </c>
      <c r="L22" s="124">
        <f>'2.Giá'!$E$10</f>
        <v>185000</v>
      </c>
      <c r="M22" s="124">
        <f>'2.Giá'!$E$10</f>
        <v>185000</v>
      </c>
      <c r="N22" s="124">
        <f>'2.Giá'!$E$10</f>
        <v>185000</v>
      </c>
      <c r="O22" s="124">
        <f>'2.Giá'!$E$10</f>
        <v>185000</v>
      </c>
      <c r="P22" s="130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</row>
    <row r="23">
      <c r="A23" s="62"/>
      <c r="B23" s="62"/>
      <c r="C23" s="133" t="s">
        <v>280</v>
      </c>
      <c r="D23" s="135">
        <f t="shared" ref="D23:O23" si="11">D21*D22</f>
        <v>5920000</v>
      </c>
      <c r="E23" s="135">
        <f t="shared" si="11"/>
        <v>6475000</v>
      </c>
      <c r="F23" s="135">
        <f t="shared" si="11"/>
        <v>4440000</v>
      </c>
      <c r="G23" s="135">
        <f t="shared" si="11"/>
        <v>4070000</v>
      </c>
      <c r="H23" s="135">
        <f t="shared" si="11"/>
        <v>4440000</v>
      </c>
      <c r="I23" s="135">
        <f t="shared" si="11"/>
        <v>5550000</v>
      </c>
      <c r="J23" s="135">
        <f t="shared" si="11"/>
        <v>4440000</v>
      </c>
      <c r="K23" s="135">
        <f t="shared" si="11"/>
        <v>4995000</v>
      </c>
      <c r="L23" s="135">
        <f t="shared" si="11"/>
        <v>5920000</v>
      </c>
      <c r="M23" s="135">
        <f t="shared" si="11"/>
        <v>5365000</v>
      </c>
      <c r="N23" s="135">
        <f t="shared" si="11"/>
        <v>6105000</v>
      </c>
      <c r="O23" s="135">
        <f t="shared" si="11"/>
        <v>6475000</v>
      </c>
      <c r="P23" s="121">
        <f t="shared" ref="P23:P24" si="12">SUM(D23:O23)</f>
        <v>64195000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</row>
    <row r="24">
      <c r="A24" s="113">
        <v>7.0</v>
      </c>
      <c r="B24" s="115" t="s">
        <v>95</v>
      </c>
      <c r="C24" s="117" t="s">
        <v>213</v>
      </c>
      <c r="D24" s="119">
        <v>34.0</v>
      </c>
      <c r="E24" s="119">
        <v>40.0</v>
      </c>
      <c r="F24" s="119">
        <v>25.0</v>
      </c>
      <c r="G24" s="119">
        <v>25.0</v>
      </c>
      <c r="H24" s="119">
        <v>28.0</v>
      </c>
      <c r="I24" s="119">
        <v>40.0</v>
      </c>
      <c r="J24" s="119">
        <v>26.0</v>
      </c>
      <c r="K24" s="119">
        <v>29.0</v>
      </c>
      <c r="L24" s="119">
        <v>45.0</v>
      </c>
      <c r="M24" s="119">
        <v>32.0</v>
      </c>
      <c r="N24" s="119">
        <v>35.0</v>
      </c>
      <c r="O24" s="119">
        <v>38.0</v>
      </c>
      <c r="P24" s="121">
        <f t="shared" si="12"/>
        <v>397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</row>
    <row r="25">
      <c r="A25" s="122"/>
      <c r="B25" s="122"/>
      <c r="C25" s="123" t="s">
        <v>23</v>
      </c>
      <c r="D25" s="124">
        <f>'2.Giá'!$E$11</f>
        <v>85000</v>
      </c>
      <c r="E25" s="124">
        <f>'2.Giá'!$E$11</f>
        <v>85000</v>
      </c>
      <c r="F25" s="124">
        <f>'2.Giá'!$E$11</f>
        <v>85000</v>
      </c>
      <c r="G25" s="124">
        <f>'2.Giá'!$E$11</f>
        <v>85000</v>
      </c>
      <c r="H25" s="124">
        <f>'2.Giá'!$E$11</f>
        <v>85000</v>
      </c>
      <c r="I25" s="124">
        <f>'2.Giá'!$E$11</f>
        <v>85000</v>
      </c>
      <c r="J25" s="124">
        <f>'2.Giá'!$E$11</f>
        <v>85000</v>
      </c>
      <c r="K25" s="124">
        <f>'2.Giá'!$E$11</f>
        <v>85000</v>
      </c>
      <c r="L25" s="124">
        <f>'2.Giá'!$E$11</f>
        <v>85000</v>
      </c>
      <c r="M25" s="124">
        <f>'2.Giá'!$E$11</f>
        <v>85000</v>
      </c>
      <c r="N25" s="124">
        <f>'2.Giá'!$E$11</f>
        <v>85000</v>
      </c>
      <c r="O25" s="124">
        <f>'2.Giá'!$E$11</f>
        <v>85000</v>
      </c>
      <c r="P25" s="130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</row>
    <row r="26">
      <c r="A26" s="62"/>
      <c r="B26" s="62"/>
      <c r="C26" s="133" t="s">
        <v>280</v>
      </c>
      <c r="D26" s="135">
        <f t="shared" ref="D26:O26" si="13">D24*D25</f>
        <v>2890000</v>
      </c>
      <c r="E26" s="135">
        <f t="shared" si="13"/>
        <v>3400000</v>
      </c>
      <c r="F26" s="135">
        <f t="shared" si="13"/>
        <v>2125000</v>
      </c>
      <c r="G26" s="135">
        <f t="shared" si="13"/>
        <v>2125000</v>
      </c>
      <c r="H26" s="135">
        <f t="shared" si="13"/>
        <v>2380000</v>
      </c>
      <c r="I26" s="135">
        <f t="shared" si="13"/>
        <v>3400000</v>
      </c>
      <c r="J26" s="135">
        <f t="shared" si="13"/>
        <v>2210000</v>
      </c>
      <c r="K26" s="135">
        <f t="shared" si="13"/>
        <v>2465000</v>
      </c>
      <c r="L26" s="135">
        <f t="shared" si="13"/>
        <v>3825000</v>
      </c>
      <c r="M26" s="135">
        <f t="shared" si="13"/>
        <v>2720000</v>
      </c>
      <c r="N26" s="135">
        <f t="shared" si="13"/>
        <v>2975000</v>
      </c>
      <c r="O26" s="135">
        <f t="shared" si="13"/>
        <v>3230000</v>
      </c>
      <c r="P26" s="121">
        <f t="shared" ref="P26:P27" si="14">SUM(D26:O26)</f>
        <v>33745000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</row>
    <row r="27">
      <c r="A27" s="113">
        <v>8.0</v>
      </c>
      <c r="B27" s="115" t="s">
        <v>106</v>
      </c>
      <c r="C27" s="117" t="s">
        <v>213</v>
      </c>
      <c r="D27" s="119">
        <v>38.0</v>
      </c>
      <c r="E27" s="119">
        <v>42.0</v>
      </c>
      <c r="F27" s="119">
        <v>30.0</v>
      </c>
      <c r="G27" s="119">
        <v>30.0</v>
      </c>
      <c r="H27" s="119">
        <v>32.0</v>
      </c>
      <c r="I27" s="119">
        <v>40.0</v>
      </c>
      <c r="J27" s="119">
        <v>30.0</v>
      </c>
      <c r="K27" s="119">
        <v>33.0</v>
      </c>
      <c r="L27" s="119">
        <v>45.0</v>
      </c>
      <c r="M27" s="119">
        <v>35.0</v>
      </c>
      <c r="N27" s="119">
        <v>38.0</v>
      </c>
      <c r="O27" s="119">
        <v>40.0</v>
      </c>
      <c r="P27" s="121">
        <f t="shared" si="14"/>
        <v>433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</row>
    <row r="28">
      <c r="A28" s="122"/>
      <c r="B28" s="122"/>
      <c r="C28" s="123" t="s">
        <v>23</v>
      </c>
      <c r="D28" s="124">
        <f>'2.Giá'!$E$12</f>
        <v>65000</v>
      </c>
      <c r="E28" s="124">
        <f>'2.Giá'!$E$12</f>
        <v>65000</v>
      </c>
      <c r="F28" s="124">
        <f>'2.Giá'!$E$12</f>
        <v>65000</v>
      </c>
      <c r="G28" s="124">
        <f>'2.Giá'!$E$12</f>
        <v>65000</v>
      </c>
      <c r="H28" s="124">
        <f>'2.Giá'!$E$12</f>
        <v>65000</v>
      </c>
      <c r="I28" s="124">
        <f>'2.Giá'!$E$12</f>
        <v>65000</v>
      </c>
      <c r="J28" s="124">
        <f>'2.Giá'!$E$12</f>
        <v>65000</v>
      </c>
      <c r="K28" s="124">
        <f>'2.Giá'!$E$12</f>
        <v>65000</v>
      </c>
      <c r="L28" s="124">
        <f>'2.Giá'!$E$12</f>
        <v>65000</v>
      </c>
      <c r="M28" s="124">
        <f>'2.Giá'!$E$12</f>
        <v>65000</v>
      </c>
      <c r="N28" s="124">
        <f>'2.Giá'!$E$12</f>
        <v>65000</v>
      </c>
      <c r="O28" s="124">
        <f>'2.Giá'!$E$12</f>
        <v>65000</v>
      </c>
      <c r="P28" s="130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</row>
    <row r="29">
      <c r="A29" s="62"/>
      <c r="B29" s="62"/>
      <c r="C29" s="133" t="s">
        <v>280</v>
      </c>
      <c r="D29" s="135">
        <f t="shared" ref="D29:O29" si="15">D27*D28</f>
        <v>2470000</v>
      </c>
      <c r="E29" s="135">
        <f t="shared" si="15"/>
        <v>2730000</v>
      </c>
      <c r="F29" s="135">
        <f t="shared" si="15"/>
        <v>1950000</v>
      </c>
      <c r="G29" s="135">
        <f t="shared" si="15"/>
        <v>1950000</v>
      </c>
      <c r="H29" s="135">
        <f t="shared" si="15"/>
        <v>2080000</v>
      </c>
      <c r="I29" s="135">
        <f t="shared" si="15"/>
        <v>2600000</v>
      </c>
      <c r="J29" s="135">
        <f t="shared" si="15"/>
        <v>1950000</v>
      </c>
      <c r="K29" s="135">
        <f t="shared" si="15"/>
        <v>2145000</v>
      </c>
      <c r="L29" s="135">
        <f t="shared" si="15"/>
        <v>2925000</v>
      </c>
      <c r="M29" s="135">
        <f t="shared" si="15"/>
        <v>2275000</v>
      </c>
      <c r="N29" s="135">
        <f t="shared" si="15"/>
        <v>2470000</v>
      </c>
      <c r="O29" s="135">
        <f t="shared" si="15"/>
        <v>2600000</v>
      </c>
      <c r="P29" s="121">
        <f t="shared" ref="P29:P30" si="16">SUM(D29:O29)</f>
        <v>28145000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</row>
    <row r="30">
      <c r="A30" s="113">
        <v>9.0</v>
      </c>
      <c r="B30" s="115" t="s">
        <v>114</v>
      </c>
      <c r="C30" s="117" t="s">
        <v>213</v>
      </c>
      <c r="D30" s="119">
        <v>35.0</v>
      </c>
      <c r="E30" s="119">
        <v>40.0</v>
      </c>
      <c r="F30" s="119">
        <v>25.0</v>
      </c>
      <c r="G30" s="119">
        <v>25.0</v>
      </c>
      <c r="H30" s="119">
        <v>28.0</v>
      </c>
      <c r="I30" s="119">
        <v>35.0</v>
      </c>
      <c r="J30" s="119">
        <v>27.0</v>
      </c>
      <c r="K30" s="119">
        <v>30.0</v>
      </c>
      <c r="L30" s="119">
        <v>38.0</v>
      </c>
      <c r="M30" s="119">
        <v>32.0</v>
      </c>
      <c r="N30" s="119">
        <v>35.0</v>
      </c>
      <c r="O30" s="119">
        <v>38.0</v>
      </c>
      <c r="P30" s="121">
        <f t="shared" si="16"/>
        <v>388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</row>
    <row r="31">
      <c r="A31" s="122"/>
      <c r="B31" s="122"/>
      <c r="C31" s="123" t="s">
        <v>23</v>
      </c>
      <c r="D31" s="124">
        <f>'2.Giá'!$E$13</f>
        <v>95000</v>
      </c>
      <c r="E31" s="124">
        <f>'2.Giá'!$E$13</f>
        <v>95000</v>
      </c>
      <c r="F31" s="124">
        <f>'2.Giá'!$E$13</f>
        <v>95000</v>
      </c>
      <c r="G31" s="124">
        <f>'2.Giá'!$E$13</f>
        <v>95000</v>
      </c>
      <c r="H31" s="124">
        <f>'2.Giá'!$E$13</f>
        <v>95000</v>
      </c>
      <c r="I31" s="124">
        <f>'2.Giá'!$E$13</f>
        <v>95000</v>
      </c>
      <c r="J31" s="124">
        <f>'2.Giá'!$E$13</f>
        <v>95000</v>
      </c>
      <c r="K31" s="124">
        <f>'2.Giá'!$E$13</f>
        <v>95000</v>
      </c>
      <c r="L31" s="124">
        <f>'2.Giá'!$E$13</f>
        <v>95000</v>
      </c>
      <c r="M31" s="124">
        <f>'2.Giá'!$E$13</f>
        <v>95000</v>
      </c>
      <c r="N31" s="124">
        <f>'2.Giá'!$E$13</f>
        <v>95000</v>
      </c>
      <c r="O31" s="124">
        <f>'2.Giá'!$E$13</f>
        <v>95000</v>
      </c>
      <c r="P31" s="130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</row>
    <row r="32">
      <c r="A32" s="62"/>
      <c r="B32" s="62"/>
      <c r="C32" s="133" t="s">
        <v>280</v>
      </c>
      <c r="D32" s="135">
        <f t="shared" ref="D32:O32" si="17">D30*D31</f>
        <v>3325000</v>
      </c>
      <c r="E32" s="135">
        <f t="shared" si="17"/>
        <v>3800000</v>
      </c>
      <c r="F32" s="135">
        <f t="shared" si="17"/>
        <v>2375000</v>
      </c>
      <c r="G32" s="135">
        <f t="shared" si="17"/>
        <v>2375000</v>
      </c>
      <c r="H32" s="135">
        <f t="shared" si="17"/>
        <v>2660000</v>
      </c>
      <c r="I32" s="135">
        <f t="shared" si="17"/>
        <v>3325000</v>
      </c>
      <c r="J32" s="135">
        <f t="shared" si="17"/>
        <v>2565000</v>
      </c>
      <c r="K32" s="135">
        <f t="shared" si="17"/>
        <v>2850000</v>
      </c>
      <c r="L32" s="135">
        <f t="shared" si="17"/>
        <v>3610000</v>
      </c>
      <c r="M32" s="135">
        <f t="shared" si="17"/>
        <v>3040000</v>
      </c>
      <c r="N32" s="135">
        <f t="shared" si="17"/>
        <v>3325000</v>
      </c>
      <c r="O32" s="135">
        <f t="shared" si="17"/>
        <v>3610000</v>
      </c>
      <c r="P32" s="121">
        <f t="shared" ref="P32:P33" si="18">SUM(D32:O32)</f>
        <v>36860000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</row>
    <row r="33">
      <c r="A33" s="113">
        <v>10.0</v>
      </c>
      <c r="B33" s="115" t="s">
        <v>124</v>
      </c>
      <c r="C33" s="117" t="s">
        <v>213</v>
      </c>
      <c r="D33" s="119">
        <v>35.0</v>
      </c>
      <c r="E33" s="119">
        <v>42.0</v>
      </c>
      <c r="F33" s="119">
        <v>22.0</v>
      </c>
      <c r="G33" s="119">
        <v>22.0</v>
      </c>
      <c r="H33" s="119">
        <v>25.0</v>
      </c>
      <c r="I33" s="119">
        <v>30.0</v>
      </c>
      <c r="J33" s="119">
        <v>26.0</v>
      </c>
      <c r="K33" s="119">
        <v>30.0</v>
      </c>
      <c r="L33" s="119">
        <v>40.0</v>
      </c>
      <c r="M33" s="119">
        <v>34.0</v>
      </c>
      <c r="N33" s="119">
        <v>38.0</v>
      </c>
      <c r="O33" s="119">
        <v>40.0</v>
      </c>
      <c r="P33" s="121">
        <f t="shared" si="18"/>
        <v>384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</row>
    <row r="34">
      <c r="A34" s="122"/>
      <c r="B34" s="122"/>
      <c r="C34" s="123" t="s">
        <v>23</v>
      </c>
      <c r="D34" s="124">
        <f>'2.Giá'!$E$14</f>
        <v>170000</v>
      </c>
      <c r="E34" s="124">
        <f>'2.Giá'!$E$14</f>
        <v>170000</v>
      </c>
      <c r="F34" s="124">
        <f>'2.Giá'!$E$14</f>
        <v>170000</v>
      </c>
      <c r="G34" s="124">
        <f>'2.Giá'!$E$14</f>
        <v>170000</v>
      </c>
      <c r="H34" s="124">
        <f>'2.Giá'!$E$14</f>
        <v>170000</v>
      </c>
      <c r="I34" s="124">
        <f>'2.Giá'!$E$14</f>
        <v>170000</v>
      </c>
      <c r="J34" s="124">
        <f>'2.Giá'!$E$14</f>
        <v>170000</v>
      </c>
      <c r="K34" s="124">
        <f>'2.Giá'!$E$14</f>
        <v>170000</v>
      </c>
      <c r="L34" s="124">
        <f>'2.Giá'!$E$14</f>
        <v>170000</v>
      </c>
      <c r="M34" s="124">
        <f>'2.Giá'!$E$14</f>
        <v>170000</v>
      </c>
      <c r="N34" s="124">
        <f>'2.Giá'!$E$14</f>
        <v>170000</v>
      </c>
      <c r="O34" s="124">
        <f>'2.Giá'!$E$14</f>
        <v>170000</v>
      </c>
      <c r="P34" s="130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</row>
    <row r="35">
      <c r="A35" s="62"/>
      <c r="B35" s="62"/>
      <c r="C35" s="133" t="s">
        <v>280</v>
      </c>
      <c r="D35" s="135">
        <f t="shared" ref="D35:O35" si="19">D33*D34</f>
        <v>5950000</v>
      </c>
      <c r="E35" s="135">
        <f t="shared" si="19"/>
        <v>7140000</v>
      </c>
      <c r="F35" s="135">
        <f t="shared" si="19"/>
        <v>3740000</v>
      </c>
      <c r="G35" s="135">
        <f t="shared" si="19"/>
        <v>3740000</v>
      </c>
      <c r="H35" s="135">
        <f t="shared" si="19"/>
        <v>4250000</v>
      </c>
      <c r="I35" s="135">
        <f t="shared" si="19"/>
        <v>5100000</v>
      </c>
      <c r="J35" s="135">
        <f t="shared" si="19"/>
        <v>4420000</v>
      </c>
      <c r="K35" s="135">
        <f t="shared" si="19"/>
        <v>5100000</v>
      </c>
      <c r="L35" s="135">
        <f t="shared" si="19"/>
        <v>6800000</v>
      </c>
      <c r="M35" s="135">
        <f t="shared" si="19"/>
        <v>5780000</v>
      </c>
      <c r="N35" s="135">
        <f t="shared" si="19"/>
        <v>6460000</v>
      </c>
      <c r="O35" s="135">
        <f t="shared" si="19"/>
        <v>6800000</v>
      </c>
      <c r="P35" s="121">
        <f t="shared" ref="P35:P37" si="21">SUM(D35:O35)</f>
        <v>65280000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</row>
    <row r="36">
      <c r="A36" s="175"/>
      <c r="B36" s="176" t="s">
        <v>380</v>
      </c>
      <c r="C36" s="85"/>
      <c r="D36" s="177">
        <f t="shared" ref="D36:O36" si="20">D6+D9+D12+D15+D18+D21+D24+D27+D30+D33</f>
        <v>347</v>
      </c>
      <c r="E36" s="177">
        <f t="shared" si="20"/>
        <v>388</v>
      </c>
      <c r="F36" s="177">
        <f t="shared" si="20"/>
        <v>276</v>
      </c>
      <c r="G36" s="177">
        <f t="shared" si="20"/>
        <v>266</v>
      </c>
      <c r="H36" s="177">
        <f t="shared" si="20"/>
        <v>288</v>
      </c>
      <c r="I36" s="177">
        <f t="shared" si="20"/>
        <v>362</v>
      </c>
      <c r="J36" s="177">
        <f t="shared" si="20"/>
        <v>277</v>
      </c>
      <c r="K36" s="177">
        <f t="shared" si="20"/>
        <v>304</v>
      </c>
      <c r="L36" s="177">
        <f t="shared" si="20"/>
        <v>406</v>
      </c>
      <c r="M36" s="177">
        <f t="shared" si="20"/>
        <v>325</v>
      </c>
      <c r="N36" s="177">
        <f t="shared" si="20"/>
        <v>355</v>
      </c>
      <c r="O36" s="177">
        <f t="shared" si="20"/>
        <v>377</v>
      </c>
      <c r="P36" s="177">
        <f t="shared" si="21"/>
        <v>3971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</row>
    <row r="37">
      <c r="A37" s="62"/>
      <c r="B37" s="178" t="s">
        <v>382</v>
      </c>
      <c r="C37" s="85"/>
      <c r="D37" s="179">
        <f t="shared" ref="D37:O37" si="22">D8+D11+D14+D17+D20+D23+D26+D29+D32+D35</f>
        <v>100764000</v>
      </c>
      <c r="E37" s="179">
        <f t="shared" si="22"/>
        <v>109363000</v>
      </c>
      <c r="F37" s="179">
        <f t="shared" si="22"/>
        <v>87665000</v>
      </c>
      <c r="G37" s="179">
        <f t="shared" si="22"/>
        <v>85673000</v>
      </c>
      <c r="H37" s="179">
        <f t="shared" si="22"/>
        <v>89265000</v>
      </c>
      <c r="I37" s="179">
        <f t="shared" si="22"/>
        <v>104803000</v>
      </c>
      <c r="J37" s="179">
        <f t="shared" si="22"/>
        <v>87446000</v>
      </c>
      <c r="K37" s="179">
        <f t="shared" si="22"/>
        <v>93750000</v>
      </c>
      <c r="L37" s="179">
        <f t="shared" si="22"/>
        <v>111671000</v>
      </c>
      <c r="M37" s="179">
        <f t="shared" si="22"/>
        <v>96927000</v>
      </c>
      <c r="N37" s="179">
        <f t="shared" si="22"/>
        <v>104786000</v>
      </c>
      <c r="O37" s="179">
        <f t="shared" si="22"/>
        <v>108628000</v>
      </c>
      <c r="P37" s="179">
        <f t="shared" si="21"/>
        <v>1180741000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</row>
    <row r="38">
      <c r="A38" s="3"/>
      <c r="B38" s="3"/>
      <c r="C38" s="3"/>
      <c r="D38" s="18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</row>
    <row r="39">
      <c r="A39" s="3"/>
      <c r="B39" s="3"/>
      <c r="C39" s="3"/>
      <c r="D39" s="18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</row>
  </sheetData>
  <mergeCells count="34">
    <mergeCell ref="Q2:AF2"/>
    <mergeCell ref="AG2:AV2"/>
    <mergeCell ref="AW2:BL2"/>
    <mergeCell ref="BM2:CB2"/>
    <mergeCell ref="CC2:CR2"/>
    <mergeCell ref="CS2:DH2"/>
    <mergeCell ref="DI2:DX2"/>
    <mergeCell ref="A2:P2"/>
    <mergeCell ref="A4:C5"/>
    <mergeCell ref="D4:O4"/>
    <mergeCell ref="P4:P5"/>
    <mergeCell ref="A6:A8"/>
    <mergeCell ref="B6:B8"/>
    <mergeCell ref="B9:B11"/>
    <mergeCell ref="A9:A11"/>
    <mergeCell ref="A12:A14"/>
    <mergeCell ref="B12:B14"/>
    <mergeCell ref="A15:A17"/>
    <mergeCell ref="B15:B17"/>
    <mergeCell ref="A18:A20"/>
    <mergeCell ref="B18:B20"/>
    <mergeCell ref="A30:A32"/>
    <mergeCell ref="A33:A35"/>
    <mergeCell ref="A36:A37"/>
    <mergeCell ref="B36:C36"/>
    <mergeCell ref="B37:C37"/>
    <mergeCell ref="A21:A23"/>
    <mergeCell ref="B21:B23"/>
    <mergeCell ref="A24:A26"/>
    <mergeCell ref="B24:B26"/>
    <mergeCell ref="A27:A29"/>
    <mergeCell ref="B27:B29"/>
    <mergeCell ref="B30:B32"/>
    <mergeCell ref="B33:B3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0.86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</row>
    <row r="2">
      <c r="A2" s="91" t="s">
        <v>236</v>
      </c>
      <c r="Q2" s="91" t="s">
        <v>236</v>
      </c>
      <c r="AG2" s="91" t="s">
        <v>236</v>
      </c>
      <c r="AW2" s="91" t="s">
        <v>236</v>
      </c>
      <c r="BM2" s="91" t="s">
        <v>236</v>
      </c>
      <c r="CC2" s="91" t="s">
        <v>236</v>
      </c>
      <c r="CS2" s="91" t="s">
        <v>236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>
      <c r="A4" s="7" t="s">
        <v>239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</row>
    <row r="6">
      <c r="A6" s="101" t="s">
        <v>10</v>
      </c>
      <c r="B6" s="95"/>
      <c r="C6" s="97"/>
      <c r="D6" s="104" t="s">
        <v>241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5"/>
      <c r="P6" s="106" t="s">
        <v>242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</row>
    <row r="7">
      <c r="A7" s="107"/>
      <c r="B7" s="108"/>
      <c r="C7" s="63"/>
      <c r="D7" s="16" t="s">
        <v>248</v>
      </c>
      <c r="E7" s="16" t="s">
        <v>249</v>
      </c>
      <c r="F7" s="16" t="s">
        <v>250</v>
      </c>
      <c r="G7" s="16" t="s">
        <v>251</v>
      </c>
      <c r="H7" s="16" t="s">
        <v>252</v>
      </c>
      <c r="I7" s="16" t="s">
        <v>253</v>
      </c>
      <c r="J7" s="16" t="s">
        <v>254</v>
      </c>
      <c r="K7" s="16" t="s">
        <v>255</v>
      </c>
      <c r="L7" s="16" t="s">
        <v>256</v>
      </c>
      <c r="M7" s="16" t="s">
        <v>258</v>
      </c>
      <c r="N7" s="16" t="s">
        <v>259</v>
      </c>
      <c r="O7" s="16" t="s">
        <v>260</v>
      </c>
      <c r="P7" s="6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</row>
    <row r="8">
      <c r="A8" s="114">
        <v>1.0</v>
      </c>
      <c r="B8" s="116" t="s">
        <v>35</v>
      </c>
      <c r="C8" s="118" t="s">
        <v>213</v>
      </c>
      <c r="D8" s="21">
        <v>33.0</v>
      </c>
      <c r="E8" s="21">
        <v>35.0</v>
      </c>
      <c r="F8" s="21">
        <v>28.0</v>
      </c>
      <c r="G8" s="21">
        <v>25.0</v>
      </c>
      <c r="H8" s="21">
        <v>28.0</v>
      </c>
      <c r="I8" s="21">
        <v>35.0</v>
      </c>
      <c r="J8" s="21">
        <v>26.0</v>
      </c>
      <c r="K8" s="21">
        <v>28.0</v>
      </c>
      <c r="L8" s="21">
        <v>38.0</v>
      </c>
      <c r="M8" s="21">
        <v>30.0</v>
      </c>
      <c r="N8" s="21">
        <v>32.0</v>
      </c>
      <c r="O8" s="21">
        <v>35.0</v>
      </c>
      <c r="P8" s="120">
        <v>363.0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</row>
    <row r="9">
      <c r="A9" s="122"/>
      <c r="B9" s="122"/>
      <c r="C9" s="13" t="s">
        <v>23</v>
      </c>
      <c r="D9" s="55">
        <v>150000.0</v>
      </c>
      <c r="E9" s="55">
        <v>150000.0</v>
      </c>
      <c r="F9" s="55">
        <v>150000.0</v>
      </c>
      <c r="G9" s="55">
        <v>150000.0</v>
      </c>
      <c r="H9" s="55">
        <v>150000.0</v>
      </c>
      <c r="I9" s="55">
        <v>150000.0</v>
      </c>
      <c r="J9" s="55">
        <v>150000.0</v>
      </c>
      <c r="K9" s="120">
        <v>165000.0</v>
      </c>
      <c r="L9" s="120">
        <v>165000.0</v>
      </c>
      <c r="M9" s="120">
        <v>165000.0</v>
      </c>
      <c r="N9" s="120">
        <v>165000.0</v>
      </c>
      <c r="O9" s="120">
        <v>165000.0</v>
      </c>
      <c r="P9" s="120">
        <v>165000.0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</row>
    <row r="10">
      <c r="A10" s="62"/>
      <c r="B10" s="62"/>
      <c r="C10" s="125" t="s">
        <v>265</v>
      </c>
      <c r="D10" s="120">
        <f t="shared" ref="D10:O10" si="1">D8*D9</f>
        <v>4950000</v>
      </c>
      <c r="E10" s="120">
        <f t="shared" si="1"/>
        <v>5250000</v>
      </c>
      <c r="F10" s="120">
        <f t="shared" si="1"/>
        <v>4200000</v>
      </c>
      <c r="G10" s="120">
        <f t="shared" si="1"/>
        <v>3750000</v>
      </c>
      <c r="H10" s="120">
        <f t="shared" si="1"/>
        <v>4200000</v>
      </c>
      <c r="I10" s="120">
        <f t="shared" si="1"/>
        <v>5250000</v>
      </c>
      <c r="J10" s="120">
        <f t="shared" si="1"/>
        <v>3900000</v>
      </c>
      <c r="K10" s="120">
        <f t="shared" si="1"/>
        <v>4620000</v>
      </c>
      <c r="L10" s="120">
        <f t="shared" si="1"/>
        <v>6270000</v>
      </c>
      <c r="M10" s="120">
        <f t="shared" si="1"/>
        <v>4950000</v>
      </c>
      <c r="N10" s="120">
        <f t="shared" si="1"/>
        <v>5280000</v>
      </c>
      <c r="O10" s="120">
        <f t="shared" si="1"/>
        <v>5775000</v>
      </c>
      <c r="P10" s="120">
        <f>D10+E10+F10+G10+H10+I10+J10+K10+L10+M10+N10+O10</f>
        <v>58395000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</row>
    <row r="11">
      <c r="A11" s="114">
        <v>2.0</v>
      </c>
      <c r="B11" s="134" t="str">
        <f>'2.Giá'!B6</f>
        <v>Bộ khối lắp ráp</v>
      </c>
      <c r="C11" s="118" t="s">
        <v>213</v>
      </c>
      <c r="D11" s="21">
        <v>32.0</v>
      </c>
      <c r="E11" s="21">
        <v>35.0</v>
      </c>
      <c r="F11" s="21">
        <v>25.0</v>
      </c>
      <c r="G11" s="21">
        <v>22.0</v>
      </c>
      <c r="H11" s="21">
        <v>25.0</v>
      </c>
      <c r="I11" s="21">
        <v>32.0</v>
      </c>
      <c r="J11" s="21">
        <v>23.0</v>
      </c>
      <c r="K11" s="21">
        <v>25.0</v>
      </c>
      <c r="L11" s="21">
        <v>36.0</v>
      </c>
      <c r="M11" s="21">
        <v>29.0</v>
      </c>
      <c r="N11" s="21">
        <v>31.0</v>
      </c>
      <c r="O11" s="21">
        <v>34.0</v>
      </c>
      <c r="P11" s="120">
        <v>337.0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</row>
    <row r="12">
      <c r="A12" s="122"/>
      <c r="B12" s="122"/>
      <c r="C12" s="13" t="s">
        <v>23</v>
      </c>
      <c r="D12" s="120">
        <v>100000.0</v>
      </c>
      <c r="E12" s="120">
        <v>100000.0</v>
      </c>
      <c r="F12" s="120">
        <v>100000.0</v>
      </c>
      <c r="G12" s="120">
        <v>100000.0</v>
      </c>
      <c r="H12" s="120">
        <v>100000.0</v>
      </c>
      <c r="I12" s="120">
        <v>100000.0</v>
      </c>
      <c r="J12" s="120">
        <v>100000.0</v>
      </c>
      <c r="K12" s="120">
        <v>100000.0</v>
      </c>
      <c r="L12" s="120">
        <v>100000.0</v>
      </c>
      <c r="M12" s="120">
        <v>100000.0</v>
      </c>
      <c r="N12" s="120">
        <v>100000.0</v>
      </c>
      <c r="O12" s="120">
        <v>100000.0</v>
      </c>
      <c r="P12" s="120">
        <v>100000.0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</row>
    <row r="13">
      <c r="A13" s="62"/>
      <c r="B13" s="62"/>
      <c r="C13" s="125" t="s">
        <v>265</v>
      </c>
      <c r="D13" s="120">
        <f t="shared" ref="D13:O13" si="2">D11*D12</f>
        <v>3200000</v>
      </c>
      <c r="E13" s="120">
        <f t="shared" si="2"/>
        <v>3500000</v>
      </c>
      <c r="F13" s="120">
        <f t="shared" si="2"/>
        <v>2500000</v>
      </c>
      <c r="G13" s="120">
        <f t="shared" si="2"/>
        <v>2200000</v>
      </c>
      <c r="H13" s="120">
        <f t="shared" si="2"/>
        <v>2500000</v>
      </c>
      <c r="I13" s="120">
        <f t="shared" si="2"/>
        <v>3200000</v>
      </c>
      <c r="J13" s="120">
        <f t="shared" si="2"/>
        <v>2300000</v>
      </c>
      <c r="K13" s="120">
        <f t="shared" si="2"/>
        <v>2500000</v>
      </c>
      <c r="L13" s="120">
        <f t="shared" si="2"/>
        <v>3600000</v>
      </c>
      <c r="M13" s="120">
        <f t="shared" si="2"/>
        <v>2900000</v>
      </c>
      <c r="N13" s="120">
        <f t="shared" si="2"/>
        <v>3100000</v>
      </c>
      <c r="O13" s="120">
        <f t="shared" si="2"/>
        <v>3400000</v>
      </c>
      <c r="P13" s="120">
        <f>SUM(C13:O13)</f>
        <v>34900000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</row>
    <row r="14">
      <c r="A14" s="114">
        <v>3.0</v>
      </c>
      <c r="B14" s="134" t="s">
        <v>57</v>
      </c>
      <c r="C14" s="118" t="s">
        <v>213</v>
      </c>
      <c r="D14" s="21">
        <v>26.0</v>
      </c>
      <c r="E14" s="21">
        <v>32.0</v>
      </c>
      <c r="F14" s="21">
        <v>22.0</v>
      </c>
      <c r="G14" s="21">
        <v>20.0</v>
      </c>
      <c r="H14" s="21">
        <v>22.0</v>
      </c>
      <c r="I14" s="21">
        <v>35.0</v>
      </c>
      <c r="J14" s="21">
        <v>20.0</v>
      </c>
      <c r="K14" s="21">
        <v>22.0</v>
      </c>
      <c r="L14" s="21">
        <v>45.0</v>
      </c>
      <c r="M14" s="21">
        <v>24.0</v>
      </c>
      <c r="N14" s="21">
        <v>26.0</v>
      </c>
      <c r="O14" s="21">
        <v>28.0</v>
      </c>
      <c r="P14" s="120">
        <v>312.0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</row>
    <row r="15">
      <c r="A15" s="122"/>
      <c r="B15" s="122"/>
      <c r="C15" s="13" t="s">
        <v>23</v>
      </c>
      <c r="D15" s="120">
        <v>70000.0</v>
      </c>
      <c r="E15" s="120">
        <v>70000.0</v>
      </c>
      <c r="F15" s="120">
        <v>70000.0</v>
      </c>
      <c r="G15" s="120">
        <v>70000.0</v>
      </c>
      <c r="H15" s="120">
        <v>70000.0</v>
      </c>
      <c r="I15" s="120">
        <v>70000.0</v>
      </c>
      <c r="J15" s="120">
        <v>70000.0</v>
      </c>
      <c r="K15" s="120">
        <v>70000.0</v>
      </c>
      <c r="L15" s="120">
        <v>70000.0</v>
      </c>
      <c r="M15" s="120">
        <v>70000.0</v>
      </c>
      <c r="N15" s="120">
        <v>70000.0</v>
      </c>
      <c r="O15" s="120">
        <v>70000.0</v>
      </c>
      <c r="P15" s="120">
        <v>70000.0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</row>
    <row r="16">
      <c r="A16" s="62"/>
      <c r="B16" s="62"/>
      <c r="C16" s="125" t="s">
        <v>265</v>
      </c>
      <c r="D16" s="120">
        <f t="shared" ref="D16:O16" si="3">PRODUCT(D14:D15)</f>
        <v>1820000</v>
      </c>
      <c r="E16" s="120">
        <f t="shared" si="3"/>
        <v>2240000</v>
      </c>
      <c r="F16" s="120">
        <f t="shared" si="3"/>
        <v>1540000</v>
      </c>
      <c r="G16" s="120">
        <f t="shared" si="3"/>
        <v>1400000</v>
      </c>
      <c r="H16" s="120">
        <f t="shared" si="3"/>
        <v>1540000</v>
      </c>
      <c r="I16" s="120">
        <f t="shared" si="3"/>
        <v>2450000</v>
      </c>
      <c r="J16" s="120">
        <f t="shared" si="3"/>
        <v>1400000</v>
      </c>
      <c r="K16" s="120">
        <f t="shared" si="3"/>
        <v>1540000</v>
      </c>
      <c r="L16" s="120">
        <f t="shared" si="3"/>
        <v>3150000</v>
      </c>
      <c r="M16" s="120">
        <f t="shared" si="3"/>
        <v>1680000</v>
      </c>
      <c r="N16" s="120">
        <f t="shared" si="3"/>
        <v>1820000</v>
      </c>
      <c r="O16" s="120">
        <f t="shared" si="3"/>
        <v>1960000</v>
      </c>
      <c r="P16" s="120">
        <f>SUM(D16:O16)</f>
        <v>22540000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</row>
    <row r="17">
      <c r="A17" s="114">
        <v>4.0</v>
      </c>
      <c r="B17" s="134" t="s">
        <v>76</v>
      </c>
      <c r="C17" s="118" t="s">
        <v>213</v>
      </c>
      <c r="D17" s="21">
        <v>52.0</v>
      </c>
      <c r="E17" s="21">
        <v>55.0</v>
      </c>
      <c r="F17" s="21">
        <v>50.0</v>
      </c>
      <c r="G17" s="21">
        <v>50.0</v>
      </c>
      <c r="H17" s="21">
        <v>50.0</v>
      </c>
      <c r="I17" s="21">
        <v>55.0</v>
      </c>
      <c r="J17" s="21">
        <v>50.0</v>
      </c>
      <c r="K17" s="21">
        <v>52.0</v>
      </c>
      <c r="L17" s="21">
        <v>55.0</v>
      </c>
      <c r="M17" s="21">
        <v>52.0</v>
      </c>
      <c r="N17" s="21">
        <v>55.0</v>
      </c>
      <c r="O17" s="21">
        <v>55.0</v>
      </c>
      <c r="P17" s="120">
        <v>597.0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</row>
    <row r="18">
      <c r="A18" s="122"/>
      <c r="B18" s="122"/>
      <c r="C18" s="13" t="s">
        <v>23</v>
      </c>
      <c r="D18" s="120">
        <v>500000.0</v>
      </c>
      <c r="E18" s="120">
        <v>500000.0</v>
      </c>
      <c r="F18" s="120">
        <v>500000.0</v>
      </c>
      <c r="G18" s="120">
        <v>500000.0</v>
      </c>
      <c r="H18" s="120">
        <v>500000.0</v>
      </c>
      <c r="I18" s="120">
        <v>500000.0</v>
      </c>
      <c r="J18" s="120">
        <v>500000.0</v>
      </c>
      <c r="K18" s="120">
        <v>500000.0</v>
      </c>
      <c r="L18" s="120">
        <v>500000.0</v>
      </c>
      <c r="M18" s="120">
        <v>500000.0</v>
      </c>
      <c r="N18" s="120">
        <v>500000.0</v>
      </c>
      <c r="O18" s="120">
        <v>500000.0</v>
      </c>
      <c r="P18" s="120">
        <v>500000.0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</row>
    <row r="19">
      <c r="A19" s="62"/>
      <c r="B19" s="62"/>
      <c r="C19" s="125" t="s">
        <v>265</v>
      </c>
      <c r="D19" s="120">
        <f t="shared" ref="D19:O19" si="4">PRODUCT(D17:D18)</f>
        <v>26000000</v>
      </c>
      <c r="E19" s="120">
        <f t="shared" si="4"/>
        <v>27500000</v>
      </c>
      <c r="F19" s="120">
        <f t="shared" si="4"/>
        <v>25000000</v>
      </c>
      <c r="G19" s="120">
        <f t="shared" si="4"/>
        <v>25000000</v>
      </c>
      <c r="H19" s="120">
        <f t="shared" si="4"/>
        <v>25000000</v>
      </c>
      <c r="I19" s="120">
        <f t="shared" si="4"/>
        <v>27500000</v>
      </c>
      <c r="J19" s="120">
        <f t="shared" si="4"/>
        <v>25000000</v>
      </c>
      <c r="K19" s="120">
        <f t="shared" si="4"/>
        <v>26000000</v>
      </c>
      <c r="L19" s="120">
        <f t="shared" si="4"/>
        <v>27500000</v>
      </c>
      <c r="M19" s="120">
        <f t="shared" si="4"/>
        <v>26000000</v>
      </c>
      <c r="N19" s="120">
        <f t="shared" si="4"/>
        <v>27500000</v>
      </c>
      <c r="O19" s="120">
        <f t="shared" si="4"/>
        <v>27500000</v>
      </c>
      <c r="P19" s="120">
        <f>SUM(D19:O19)</f>
        <v>315500000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</row>
    <row r="20">
      <c r="A20" s="114">
        <v>5.0</v>
      </c>
      <c r="B20" s="134" t="s">
        <v>68</v>
      </c>
      <c r="C20" s="118" t="s">
        <v>213</v>
      </c>
      <c r="D20" s="21">
        <v>30.0</v>
      </c>
      <c r="E20" s="21">
        <v>32.0</v>
      </c>
      <c r="F20" s="21">
        <v>24.0</v>
      </c>
      <c r="G20" s="21">
        <v>22.0</v>
      </c>
      <c r="H20" s="21">
        <v>24.0</v>
      </c>
      <c r="I20" s="21">
        <v>30.0</v>
      </c>
      <c r="J20" s="21">
        <v>24.0</v>
      </c>
      <c r="K20" s="21">
        <v>27.0</v>
      </c>
      <c r="L20" s="21">
        <v>32.0</v>
      </c>
      <c r="M20" s="21">
        <v>29.0</v>
      </c>
      <c r="N20" s="21">
        <v>33.0</v>
      </c>
      <c r="O20" s="21">
        <v>35.0</v>
      </c>
      <c r="P20" s="120">
        <v>347.0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</row>
    <row r="21">
      <c r="A21" s="122"/>
      <c r="B21" s="122"/>
      <c r="C21" s="13" t="s">
        <v>23</v>
      </c>
      <c r="D21" s="120">
        <v>250000.0</v>
      </c>
      <c r="E21" s="120">
        <v>250000.0</v>
      </c>
      <c r="F21" s="120">
        <v>250000.0</v>
      </c>
      <c r="G21" s="120">
        <v>250000.0</v>
      </c>
      <c r="H21" s="120">
        <v>250000.0</v>
      </c>
      <c r="I21" s="120">
        <v>250000.0</v>
      </c>
      <c r="J21" s="120">
        <v>250000.0</v>
      </c>
      <c r="K21" s="120">
        <v>250000.0</v>
      </c>
      <c r="L21" s="120">
        <v>250000.0</v>
      </c>
      <c r="M21" s="120">
        <v>250000.0</v>
      </c>
      <c r="N21" s="120">
        <v>250000.0</v>
      </c>
      <c r="O21" s="120">
        <v>250000.0</v>
      </c>
      <c r="P21" s="120">
        <v>250000.0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</row>
    <row r="22">
      <c r="A22" s="62"/>
      <c r="B22" s="62"/>
      <c r="C22" s="125" t="s">
        <v>265</v>
      </c>
      <c r="D22" s="120">
        <f t="shared" ref="D22:O22" si="5">PRODUCT(D20:D21)</f>
        <v>7500000</v>
      </c>
      <c r="E22" s="120">
        <f t="shared" si="5"/>
        <v>8000000</v>
      </c>
      <c r="F22" s="120">
        <f t="shared" si="5"/>
        <v>6000000</v>
      </c>
      <c r="G22" s="120">
        <f t="shared" si="5"/>
        <v>5500000</v>
      </c>
      <c r="H22" s="120">
        <f t="shared" si="5"/>
        <v>6000000</v>
      </c>
      <c r="I22" s="120">
        <f t="shared" si="5"/>
        <v>7500000</v>
      </c>
      <c r="J22" s="120">
        <f t="shared" si="5"/>
        <v>6000000</v>
      </c>
      <c r="K22" s="120">
        <f t="shared" si="5"/>
        <v>6750000</v>
      </c>
      <c r="L22" s="120">
        <f t="shared" si="5"/>
        <v>8000000</v>
      </c>
      <c r="M22" s="120">
        <f t="shared" si="5"/>
        <v>7250000</v>
      </c>
      <c r="N22" s="120">
        <f t="shared" si="5"/>
        <v>8250000</v>
      </c>
      <c r="O22" s="120">
        <f t="shared" si="5"/>
        <v>8750000</v>
      </c>
      <c r="P22" s="120">
        <f>SUM(D22:O22)</f>
        <v>85500000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</row>
    <row r="23">
      <c r="A23" s="114">
        <v>6.0</v>
      </c>
      <c r="B23" s="134" t="s">
        <v>86</v>
      </c>
      <c r="C23" s="118" t="s">
        <v>213</v>
      </c>
      <c r="D23" s="21">
        <v>32.0</v>
      </c>
      <c r="E23" s="21">
        <v>35.0</v>
      </c>
      <c r="F23" s="21">
        <v>24.0</v>
      </c>
      <c r="G23" s="21">
        <v>22.0</v>
      </c>
      <c r="H23" s="21">
        <v>24.0</v>
      </c>
      <c r="I23" s="21">
        <v>30.0</v>
      </c>
      <c r="J23" s="21">
        <v>24.0</v>
      </c>
      <c r="K23" s="21">
        <v>27.0</v>
      </c>
      <c r="L23" s="21">
        <v>32.0</v>
      </c>
      <c r="M23" s="21">
        <v>28.0</v>
      </c>
      <c r="N23" s="21">
        <v>32.0</v>
      </c>
      <c r="O23" s="21">
        <v>34.0</v>
      </c>
      <c r="P23" s="120">
        <v>347.0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</row>
    <row r="24">
      <c r="A24" s="122"/>
      <c r="B24" s="122"/>
      <c r="C24" s="13" t="s">
        <v>23</v>
      </c>
      <c r="D24" s="120">
        <v>120000.0</v>
      </c>
      <c r="E24" s="120">
        <v>120000.0</v>
      </c>
      <c r="F24" s="120">
        <v>120000.0</v>
      </c>
      <c r="G24" s="120">
        <v>120000.0</v>
      </c>
      <c r="H24" s="120">
        <v>120000.0</v>
      </c>
      <c r="I24" s="120">
        <v>120000.0</v>
      </c>
      <c r="J24" s="120">
        <v>120000.0</v>
      </c>
      <c r="K24" s="120">
        <v>120000.0</v>
      </c>
      <c r="L24" s="120">
        <v>120000.0</v>
      </c>
      <c r="M24" s="120">
        <v>120000.0</v>
      </c>
      <c r="N24" s="120">
        <v>120000.0</v>
      </c>
      <c r="O24" s="120">
        <v>120000.0</v>
      </c>
      <c r="P24" s="120">
        <v>120000.0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</row>
    <row r="25">
      <c r="A25" s="62"/>
      <c r="B25" s="62"/>
      <c r="C25" s="125" t="s">
        <v>265</v>
      </c>
      <c r="D25" s="120">
        <f t="shared" ref="D25:O25" si="6">PRODUCT(D23:D24)</f>
        <v>3840000</v>
      </c>
      <c r="E25" s="120">
        <f t="shared" si="6"/>
        <v>4200000</v>
      </c>
      <c r="F25" s="120">
        <f t="shared" si="6"/>
        <v>2880000</v>
      </c>
      <c r="G25" s="120">
        <f t="shared" si="6"/>
        <v>2640000</v>
      </c>
      <c r="H25" s="120">
        <f t="shared" si="6"/>
        <v>2880000</v>
      </c>
      <c r="I25" s="120">
        <f t="shared" si="6"/>
        <v>3600000</v>
      </c>
      <c r="J25" s="120">
        <f t="shared" si="6"/>
        <v>2880000</v>
      </c>
      <c r="K25" s="120">
        <f t="shared" si="6"/>
        <v>3240000</v>
      </c>
      <c r="L25" s="120">
        <f t="shared" si="6"/>
        <v>3840000</v>
      </c>
      <c r="M25" s="120">
        <f t="shared" si="6"/>
        <v>3360000</v>
      </c>
      <c r="N25" s="120">
        <f t="shared" si="6"/>
        <v>3840000</v>
      </c>
      <c r="O25" s="120">
        <f t="shared" si="6"/>
        <v>4080000</v>
      </c>
      <c r="P25" s="120">
        <f>SUM(D25:O25)</f>
        <v>41280000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</row>
    <row r="26">
      <c r="A26" s="114">
        <v>7.0</v>
      </c>
      <c r="B26" s="134" t="s">
        <v>95</v>
      </c>
      <c r="C26" s="118" t="s">
        <v>213</v>
      </c>
      <c r="D26" s="21">
        <v>34.0</v>
      </c>
      <c r="E26" s="21">
        <v>40.0</v>
      </c>
      <c r="F26" s="21">
        <v>25.0</v>
      </c>
      <c r="G26" s="21">
        <v>25.0</v>
      </c>
      <c r="H26" s="21">
        <v>28.0</v>
      </c>
      <c r="I26" s="21">
        <v>40.0</v>
      </c>
      <c r="J26" s="21">
        <v>26.0</v>
      </c>
      <c r="K26" s="21">
        <v>29.0</v>
      </c>
      <c r="L26" s="21">
        <v>45.0</v>
      </c>
      <c r="M26" s="21">
        <v>32.0</v>
      </c>
      <c r="N26" s="21">
        <v>35.0</v>
      </c>
      <c r="O26" s="21">
        <v>38.0</v>
      </c>
      <c r="P26" s="21">
        <v>390.0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</row>
    <row r="27">
      <c r="A27" s="122"/>
      <c r="B27" s="122"/>
      <c r="C27" s="13" t="s">
        <v>23</v>
      </c>
      <c r="D27" s="120">
        <v>45000.0</v>
      </c>
      <c r="E27" s="120">
        <v>45000.0</v>
      </c>
      <c r="F27" s="120">
        <v>45000.0</v>
      </c>
      <c r="G27" s="120">
        <v>45000.0</v>
      </c>
      <c r="H27" s="120">
        <v>45000.0</v>
      </c>
      <c r="I27" s="120">
        <v>45000.0</v>
      </c>
      <c r="J27" s="120">
        <v>45000.0</v>
      </c>
      <c r="K27" s="120">
        <v>45000.0</v>
      </c>
      <c r="L27" s="120">
        <v>45000.0</v>
      </c>
      <c r="M27" s="120">
        <v>45000.0</v>
      </c>
      <c r="N27" s="120">
        <v>45000.0</v>
      </c>
      <c r="O27" s="120">
        <v>45000.0</v>
      </c>
      <c r="P27" s="120">
        <v>45000.0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</row>
    <row r="28">
      <c r="A28" s="62"/>
      <c r="B28" s="62"/>
      <c r="C28" s="125" t="s">
        <v>265</v>
      </c>
      <c r="D28" s="120">
        <f t="shared" ref="D28:O28" si="7">PRODUCT(D26:D27)</f>
        <v>1530000</v>
      </c>
      <c r="E28" s="120">
        <f t="shared" si="7"/>
        <v>1800000</v>
      </c>
      <c r="F28" s="120">
        <f t="shared" si="7"/>
        <v>1125000</v>
      </c>
      <c r="G28" s="120">
        <f t="shared" si="7"/>
        <v>1125000</v>
      </c>
      <c r="H28" s="120">
        <f t="shared" si="7"/>
        <v>1260000</v>
      </c>
      <c r="I28" s="120">
        <f t="shared" si="7"/>
        <v>1800000</v>
      </c>
      <c r="J28" s="120">
        <f t="shared" si="7"/>
        <v>1170000</v>
      </c>
      <c r="K28" s="120">
        <f t="shared" si="7"/>
        <v>1305000</v>
      </c>
      <c r="L28" s="120">
        <f t="shared" si="7"/>
        <v>2025000</v>
      </c>
      <c r="M28" s="120">
        <f t="shared" si="7"/>
        <v>1440000</v>
      </c>
      <c r="N28" s="120">
        <f t="shared" si="7"/>
        <v>1575000</v>
      </c>
      <c r="O28" s="120">
        <f t="shared" si="7"/>
        <v>1710000</v>
      </c>
      <c r="P28" s="120">
        <f>SUM(D28:O28)</f>
        <v>17865000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</row>
    <row r="29">
      <c r="A29" s="114">
        <v>8.0</v>
      </c>
      <c r="B29" s="134" t="s">
        <v>106</v>
      </c>
      <c r="C29" s="118" t="s">
        <v>213</v>
      </c>
      <c r="D29" s="21">
        <v>38.0</v>
      </c>
      <c r="E29" s="21">
        <v>42.0</v>
      </c>
      <c r="F29" s="21">
        <v>30.0</v>
      </c>
      <c r="G29" s="21">
        <v>30.0</v>
      </c>
      <c r="H29" s="21">
        <v>32.0</v>
      </c>
      <c r="I29" s="21">
        <v>40.0</v>
      </c>
      <c r="J29" s="21">
        <v>30.0</v>
      </c>
      <c r="K29" s="21">
        <v>33.0</v>
      </c>
      <c r="L29" s="21">
        <v>45.0</v>
      </c>
      <c r="M29" s="21">
        <v>35.0</v>
      </c>
      <c r="N29" s="21">
        <v>38.0</v>
      </c>
      <c r="O29" s="21">
        <v>40.0</v>
      </c>
      <c r="P29" s="120">
        <v>427.0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</row>
    <row r="30">
      <c r="A30" s="122"/>
      <c r="B30" s="122"/>
      <c r="C30" s="13" t="s">
        <v>23</v>
      </c>
      <c r="D30" s="120">
        <v>35000.0</v>
      </c>
      <c r="E30" s="120">
        <v>35000.0</v>
      </c>
      <c r="F30" s="120">
        <v>35000.0</v>
      </c>
      <c r="G30" s="120">
        <v>35000.0</v>
      </c>
      <c r="H30" s="120">
        <v>35000.0</v>
      </c>
      <c r="I30" s="120">
        <v>35000.0</v>
      </c>
      <c r="J30" s="120">
        <v>35000.0</v>
      </c>
      <c r="K30" s="120">
        <v>35000.0</v>
      </c>
      <c r="L30" s="120">
        <v>35000.0</v>
      </c>
      <c r="M30" s="120">
        <v>35000.0</v>
      </c>
      <c r="N30" s="120">
        <v>35000.0</v>
      </c>
      <c r="O30" s="120">
        <v>35000.0</v>
      </c>
      <c r="P30" s="120">
        <v>35000.0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</row>
    <row r="31">
      <c r="A31" s="62"/>
      <c r="B31" s="62"/>
      <c r="C31" s="125" t="s">
        <v>265</v>
      </c>
      <c r="D31" s="120">
        <f t="shared" ref="D31:O31" si="8">PRODUCT(D29:D30)</f>
        <v>1330000</v>
      </c>
      <c r="E31" s="120">
        <f t="shared" si="8"/>
        <v>1470000</v>
      </c>
      <c r="F31" s="120">
        <f t="shared" si="8"/>
        <v>1050000</v>
      </c>
      <c r="G31" s="120">
        <f t="shared" si="8"/>
        <v>1050000</v>
      </c>
      <c r="H31" s="120">
        <f t="shared" si="8"/>
        <v>1120000</v>
      </c>
      <c r="I31" s="120">
        <f t="shared" si="8"/>
        <v>1400000</v>
      </c>
      <c r="J31" s="120">
        <f t="shared" si="8"/>
        <v>1050000</v>
      </c>
      <c r="K31" s="120">
        <f t="shared" si="8"/>
        <v>1155000</v>
      </c>
      <c r="L31" s="120">
        <f t="shared" si="8"/>
        <v>1575000</v>
      </c>
      <c r="M31" s="120">
        <f t="shared" si="8"/>
        <v>1225000</v>
      </c>
      <c r="N31" s="120">
        <f t="shared" si="8"/>
        <v>1330000</v>
      </c>
      <c r="O31" s="120">
        <f t="shared" si="8"/>
        <v>1400000</v>
      </c>
      <c r="P31" s="120">
        <f>SUM(D31:O31)</f>
        <v>15155000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</row>
    <row r="32">
      <c r="A32" s="114">
        <v>9.0</v>
      </c>
      <c r="B32" s="134" t="s">
        <v>114</v>
      </c>
      <c r="C32" s="118" t="s">
        <v>213</v>
      </c>
      <c r="D32" s="21">
        <v>35.0</v>
      </c>
      <c r="E32" s="21">
        <v>40.0</v>
      </c>
      <c r="F32" s="21">
        <v>25.0</v>
      </c>
      <c r="G32" s="21">
        <v>25.0</v>
      </c>
      <c r="H32" s="21">
        <v>28.0</v>
      </c>
      <c r="I32" s="21">
        <v>35.0</v>
      </c>
      <c r="J32" s="21">
        <v>27.0</v>
      </c>
      <c r="K32" s="21">
        <v>30.0</v>
      </c>
      <c r="L32" s="21">
        <v>38.0</v>
      </c>
      <c r="M32" s="21">
        <v>32.0</v>
      </c>
      <c r="N32" s="21">
        <v>35.0</v>
      </c>
      <c r="O32" s="21">
        <v>38.0</v>
      </c>
      <c r="P32" s="120">
        <v>384.0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</row>
    <row r="33">
      <c r="A33" s="122"/>
      <c r="B33" s="122"/>
      <c r="C33" s="13" t="s">
        <v>23</v>
      </c>
      <c r="D33" s="120">
        <v>55000.0</v>
      </c>
      <c r="E33" s="120">
        <v>55000.0</v>
      </c>
      <c r="F33" s="120">
        <v>55000.0</v>
      </c>
      <c r="G33" s="120">
        <v>55000.0</v>
      </c>
      <c r="H33" s="120">
        <v>55000.0</v>
      </c>
      <c r="I33" s="120">
        <v>55000.0</v>
      </c>
      <c r="J33" s="120">
        <v>55000.0</v>
      </c>
      <c r="K33" s="120">
        <v>55000.0</v>
      </c>
      <c r="L33" s="120">
        <v>55000.0</v>
      </c>
      <c r="M33" s="120">
        <v>55000.0</v>
      </c>
      <c r="N33" s="120">
        <v>55000.0</v>
      </c>
      <c r="O33" s="120">
        <v>55000.0</v>
      </c>
      <c r="P33" s="120">
        <v>55000.0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</row>
    <row r="34">
      <c r="A34" s="62"/>
      <c r="B34" s="62"/>
      <c r="C34" s="125" t="s">
        <v>265</v>
      </c>
      <c r="D34" s="120">
        <f t="shared" ref="D34:O34" si="9">PRODUCT(D32:D33)</f>
        <v>1925000</v>
      </c>
      <c r="E34" s="120">
        <f t="shared" si="9"/>
        <v>2200000</v>
      </c>
      <c r="F34" s="120">
        <f t="shared" si="9"/>
        <v>1375000</v>
      </c>
      <c r="G34" s="120">
        <f t="shared" si="9"/>
        <v>1375000</v>
      </c>
      <c r="H34" s="120">
        <f t="shared" si="9"/>
        <v>1540000</v>
      </c>
      <c r="I34" s="120">
        <f t="shared" si="9"/>
        <v>1925000</v>
      </c>
      <c r="J34" s="120">
        <f t="shared" si="9"/>
        <v>1485000</v>
      </c>
      <c r="K34" s="120">
        <f t="shared" si="9"/>
        <v>1650000</v>
      </c>
      <c r="L34" s="120">
        <f t="shared" si="9"/>
        <v>2090000</v>
      </c>
      <c r="M34" s="120">
        <f t="shared" si="9"/>
        <v>1760000</v>
      </c>
      <c r="N34" s="120">
        <f t="shared" si="9"/>
        <v>1925000</v>
      </c>
      <c r="O34" s="120">
        <f t="shared" si="9"/>
        <v>2090000</v>
      </c>
      <c r="P34" s="120">
        <f>SUM(D34:O34)</f>
        <v>21340000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</row>
    <row r="35">
      <c r="A35" s="114">
        <v>10.0</v>
      </c>
      <c r="B35" s="134" t="s">
        <v>124</v>
      </c>
      <c r="C35" s="118" t="s">
        <v>213</v>
      </c>
      <c r="D35" s="120">
        <v>35.0</v>
      </c>
      <c r="E35" s="21">
        <v>42.0</v>
      </c>
      <c r="F35" s="21">
        <v>22.0</v>
      </c>
      <c r="G35" s="21">
        <v>22.0</v>
      </c>
      <c r="H35" s="21">
        <v>25.0</v>
      </c>
      <c r="I35" s="21">
        <v>30.0</v>
      </c>
      <c r="J35" s="21">
        <v>26.0</v>
      </c>
      <c r="K35" s="21">
        <v>30.0</v>
      </c>
      <c r="L35" s="21">
        <v>40.0</v>
      </c>
      <c r="M35" s="21">
        <v>34.0</v>
      </c>
      <c r="N35" s="21">
        <v>38.0</v>
      </c>
      <c r="O35" s="21">
        <v>40.0</v>
      </c>
      <c r="P35" s="21">
        <v>380.0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</row>
    <row r="36">
      <c r="A36" s="122"/>
      <c r="B36" s="122"/>
      <c r="C36" s="13" t="s">
        <v>23</v>
      </c>
      <c r="D36" s="12">
        <v>110000.0</v>
      </c>
      <c r="E36" s="12">
        <v>110000.0</v>
      </c>
      <c r="F36" s="12">
        <v>110000.0</v>
      </c>
      <c r="G36" s="12">
        <v>110000.0</v>
      </c>
      <c r="H36" s="12">
        <v>110000.0</v>
      </c>
      <c r="I36" s="12">
        <v>110000.0</v>
      </c>
      <c r="J36" s="12">
        <v>110000.0</v>
      </c>
      <c r="K36" s="12">
        <v>110000.0</v>
      </c>
      <c r="L36" s="12">
        <v>110000.0</v>
      </c>
      <c r="M36" s="12">
        <v>110000.0</v>
      </c>
      <c r="N36" s="12">
        <v>110000.0</v>
      </c>
      <c r="O36" s="12">
        <v>110000.0</v>
      </c>
      <c r="P36" s="12">
        <v>110000.0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</row>
    <row r="37">
      <c r="A37" s="62"/>
      <c r="B37" s="62"/>
      <c r="C37" s="125" t="s">
        <v>265</v>
      </c>
      <c r="D37" s="120">
        <f>D35*D36</f>
        <v>3850000</v>
      </c>
      <c r="E37" s="120">
        <f t="shared" ref="E37:O37" si="10">PRODUCT(E35:E36)</f>
        <v>4620000</v>
      </c>
      <c r="F37" s="120">
        <f t="shared" si="10"/>
        <v>2420000</v>
      </c>
      <c r="G37" s="120">
        <f t="shared" si="10"/>
        <v>2420000</v>
      </c>
      <c r="H37" s="120">
        <f t="shared" si="10"/>
        <v>2750000</v>
      </c>
      <c r="I37" s="120">
        <f t="shared" si="10"/>
        <v>3300000</v>
      </c>
      <c r="J37" s="120">
        <f t="shared" si="10"/>
        <v>2860000</v>
      </c>
      <c r="K37" s="120">
        <f t="shared" si="10"/>
        <v>3300000</v>
      </c>
      <c r="L37" s="120">
        <f t="shared" si="10"/>
        <v>4400000</v>
      </c>
      <c r="M37" s="120">
        <f t="shared" si="10"/>
        <v>3740000</v>
      </c>
      <c r="N37" s="120">
        <f t="shared" si="10"/>
        <v>4180000</v>
      </c>
      <c r="O37" s="120">
        <f t="shared" si="10"/>
        <v>4400000</v>
      </c>
      <c r="P37" s="120">
        <f>SUM(D37:O37)</f>
        <v>42240000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</row>
    <row r="38">
      <c r="A38" s="170"/>
      <c r="B38" s="171" t="s">
        <v>380</v>
      </c>
      <c r="C38" s="85"/>
      <c r="D38" s="172">
        <f t="shared" ref="D38:P38" si="11">SUM(D8,D11,D14,D17,D20,D23,D26,D29,D32,D35)</f>
        <v>347</v>
      </c>
      <c r="E38" s="172">
        <f t="shared" si="11"/>
        <v>388</v>
      </c>
      <c r="F38" s="172">
        <f t="shared" si="11"/>
        <v>275</v>
      </c>
      <c r="G38" s="172">
        <f t="shared" si="11"/>
        <v>263</v>
      </c>
      <c r="H38" s="172">
        <f t="shared" si="11"/>
        <v>286</v>
      </c>
      <c r="I38" s="172">
        <f t="shared" si="11"/>
        <v>362</v>
      </c>
      <c r="J38" s="172">
        <f t="shared" si="11"/>
        <v>276</v>
      </c>
      <c r="K38" s="172">
        <f t="shared" si="11"/>
        <v>303</v>
      </c>
      <c r="L38" s="172">
        <f t="shared" si="11"/>
        <v>406</v>
      </c>
      <c r="M38" s="172">
        <f t="shared" si="11"/>
        <v>325</v>
      </c>
      <c r="N38" s="172">
        <f t="shared" si="11"/>
        <v>355</v>
      </c>
      <c r="O38" s="172">
        <f t="shared" si="11"/>
        <v>377</v>
      </c>
      <c r="P38" s="173">
        <f t="shared" si="11"/>
        <v>3884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</row>
    <row r="39">
      <c r="A39" s="62"/>
      <c r="B39" s="174" t="s">
        <v>381</v>
      </c>
      <c r="C39" s="85"/>
      <c r="D39" s="173">
        <f t="shared" ref="D39:P39" si="12">SUM(D10,D13,D16,D19,D22,D25,D28,D31,D34,D37)</f>
        <v>55945000</v>
      </c>
      <c r="E39" s="173">
        <f t="shared" si="12"/>
        <v>60780000</v>
      </c>
      <c r="F39" s="173">
        <f t="shared" si="12"/>
        <v>48090000</v>
      </c>
      <c r="G39" s="173">
        <f t="shared" si="12"/>
        <v>46460000</v>
      </c>
      <c r="H39" s="173">
        <f t="shared" si="12"/>
        <v>48790000</v>
      </c>
      <c r="I39" s="173">
        <f t="shared" si="12"/>
        <v>57925000</v>
      </c>
      <c r="J39" s="173">
        <f t="shared" si="12"/>
        <v>48045000</v>
      </c>
      <c r="K39" s="173">
        <f t="shared" si="12"/>
        <v>52060000</v>
      </c>
      <c r="L39" s="173">
        <f t="shared" si="12"/>
        <v>62450000</v>
      </c>
      <c r="M39" s="173">
        <f t="shared" si="12"/>
        <v>54305000</v>
      </c>
      <c r="N39" s="173">
        <f t="shared" si="12"/>
        <v>58800000</v>
      </c>
      <c r="O39" s="173">
        <f t="shared" si="12"/>
        <v>61065000</v>
      </c>
      <c r="P39" s="173">
        <f t="shared" si="12"/>
        <v>654715000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</row>
  </sheetData>
  <mergeCells count="34">
    <mergeCell ref="A2:P2"/>
    <mergeCell ref="Q2:AF2"/>
    <mergeCell ref="AG2:AV2"/>
    <mergeCell ref="AW2:BL2"/>
    <mergeCell ref="BM2:CB2"/>
    <mergeCell ref="CC2:CR2"/>
    <mergeCell ref="CS2:DH2"/>
    <mergeCell ref="A4:P4"/>
    <mergeCell ref="A6:C7"/>
    <mergeCell ref="D6:O6"/>
    <mergeCell ref="P6:P7"/>
    <mergeCell ref="A8:A10"/>
    <mergeCell ref="B8:B10"/>
    <mergeCell ref="B11:B13"/>
    <mergeCell ref="A11:A13"/>
    <mergeCell ref="A14:A16"/>
    <mergeCell ref="B14:B16"/>
    <mergeCell ref="A17:A19"/>
    <mergeCell ref="B17:B19"/>
    <mergeCell ref="A20:A22"/>
    <mergeCell ref="B20:B22"/>
    <mergeCell ref="A32:A34"/>
    <mergeCell ref="A35:A37"/>
    <mergeCell ref="A38:A39"/>
    <mergeCell ref="B38:C38"/>
    <mergeCell ref="B39:C39"/>
    <mergeCell ref="A23:A25"/>
    <mergeCell ref="B23:B25"/>
    <mergeCell ref="A26:A28"/>
    <mergeCell ref="B26:B28"/>
    <mergeCell ref="A29:A31"/>
    <mergeCell ref="B29:B31"/>
    <mergeCell ref="B32:B34"/>
    <mergeCell ref="B35:B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9.0"/>
    <col customWidth="1" min="4" max="4" width="10.0"/>
    <col customWidth="1" min="5" max="5" width="15.0"/>
    <col customWidth="1" min="6" max="6" width="17.0"/>
    <col customWidth="1" min="7" max="7" width="22.0"/>
    <col customWidth="1" min="8" max="8" width="20.0"/>
    <col customWidth="1" min="9" max="9" width="21.0"/>
    <col customWidth="1" min="10" max="10" width="22.0"/>
    <col customWidth="1" min="11" max="11" width="25.0"/>
    <col customWidth="1" min="12" max="12" width="38.0"/>
    <col customWidth="1" min="13" max="13" width="24.43"/>
    <col customWidth="1" min="14" max="26" width="8.71"/>
  </cols>
  <sheetData>
    <row r="1">
      <c r="A1" s="126" t="s">
        <v>266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</row>
    <row r="2">
      <c r="M2" s="127" t="s">
        <v>5</v>
      </c>
    </row>
    <row r="3">
      <c r="A3" s="128" t="s">
        <v>6</v>
      </c>
      <c r="B3" s="128" t="s">
        <v>267</v>
      </c>
      <c r="C3" s="128" t="s">
        <v>13</v>
      </c>
      <c r="D3" s="128" t="s">
        <v>213</v>
      </c>
      <c r="E3" s="128" t="s">
        <v>23</v>
      </c>
      <c r="F3" s="128" t="s">
        <v>268</v>
      </c>
      <c r="G3" s="128" t="s">
        <v>269</v>
      </c>
      <c r="H3" s="128" t="s">
        <v>270</v>
      </c>
      <c r="I3" s="128" t="s">
        <v>271</v>
      </c>
      <c r="J3" s="128" t="s">
        <v>272</v>
      </c>
      <c r="K3" s="128" t="s">
        <v>273</v>
      </c>
      <c r="L3" s="128" t="s">
        <v>12</v>
      </c>
      <c r="M3" s="128"/>
    </row>
    <row r="4">
      <c r="A4" s="129">
        <v>1.0</v>
      </c>
      <c r="B4" s="129" t="s">
        <v>274</v>
      </c>
      <c r="C4" s="129" t="s">
        <v>36</v>
      </c>
      <c r="D4" s="131">
        <v>2.0</v>
      </c>
      <c r="E4" s="132">
        <v>3500000.0</v>
      </c>
      <c r="F4" s="132">
        <f t="shared" ref="F4:F23" si="1">D4*E4</f>
        <v>7000000</v>
      </c>
      <c r="G4" s="131">
        <v>5.0</v>
      </c>
      <c r="H4" s="132">
        <f t="shared" ref="H4:H23" si="2">F4/G4</f>
        <v>1400000</v>
      </c>
      <c r="I4" s="132">
        <f t="shared" ref="I4:I23" si="3">H4/12</f>
        <v>116666.6667</v>
      </c>
      <c r="J4" s="129" t="s">
        <v>275</v>
      </c>
      <c r="K4" s="129" t="s">
        <v>276</v>
      </c>
      <c r="L4" s="129" t="s">
        <v>277</v>
      </c>
      <c r="M4" s="129"/>
    </row>
    <row r="5">
      <c r="A5" s="129">
        <v>2.0</v>
      </c>
      <c r="B5" s="129" t="s">
        <v>278</v>
      </c>
      <c r="C5" s="129" t="s">
        <v>279</v>
      </c>
      <c r="D5" s="131">
        <v>6.0</v>
      </c>
      <c r="E5" s="132">
        <v>1800000.0</v>
      </c>
      <c r="F5" s="132">
        <f t="shared" si="1"/>
        <v>10800000</v>
      </c>
      <c r="G5" s="131">
        <v>5.0</v>
      </c>
      <c r="H5" s="132">
        <f t="shared" si="2"/>
        <v>2160000</v>
      </c>
      <c r="I5" s="132">
        <f t="shared" si="3"/>
        <v>180000</v>
      </c>
      <c r="J5" s="129" t="s">
        <v>275</v>
      </c>
      <c r="K5" s="129" t="s">
        <v>276</v>
      </c>
      <c r="L5" s="129" t="s">
        <v>277</v>
      </c>
      <c r="M5" s="129"/>
    </row>
    <row r="6">
      <c r="A6" s="129">
        <v>3.0</v>
      </c>
      <c r="B6" s="129" t="s">
        <v>281</v>
      </c>
      <c r="C6" s="129" t="s">
        <v>282</v>
      </c>
      <c r="D6" s="131">
        <v>2.0</v>
      </c>
      <c r="E6" s="132">
        <v>4500000.0</v>
      </c>
      <c r="F6" s="132">
        <f t="shared" si="1"/>
        <v>9000000</v>
      </c>
      <c r="G6" s="131">
        <v>5.0</v>
      </c>
      <c r="H6" s="132">
        <f t="shared" si="2"/>
        <v>1800000</v>
      </c>
      <c r="I6" s="132">
        <f t="shared" si="3"/>
        <v>150000</v>
      </c>
      <c r="J6" s="129" t="s">
        <v>275</v>
      </c>
      <c r="K6" s="129" t="s">
        <v>276</v>
      </c>
      <c r="L6" s="129" t="s">
        <v>277</v>
      </c>
      <c r="M6" s="129"/>
    </row>
    <row r="7">
      <c r="A7" s="129">
        <v>4.0</v>
      </c>
      <c r="B7" s="129" t="s">
        <v>283</v>
      </c>
      <c r="C7" s="129" t="s">
        <v>284</v>
      </c>
      <c r="D7" s="131">
        <v>1.0</v>
      </c>
      <c r="E7" s="132">
        <v>3500000.0</v>
      </c>
      <c r="F7" s="132">
        <f t="shared" si="1"/>
        <v>3500000</v>
      </c>
      <c r="G7" s="131">
        <v>5.0</v>
      </c>
      <c r="H7" s="132">
        <f t="shared" si="2"/>
        <v>700000</v>
      </c>
      <c r="I7" s="132">
        <f t="shared" si="3"/>
        <v>58333.33333</v>
      </c>
      <c r="J7" s="129" t="s">
        <v>285</v>
      </c>
      <c r="K7" s="129" t="s">
        <v>276</v>
      </c>
      <c r="L7" s="129" t="s">
        <v>277</v>
      </c>
      <c r="M7" s="129"/>
    </row>
    <row r="8">
      <c r="A8" s="129">
        <v>5.0</v>
      </c>
      <c r="B8" s="129" t="s">
        <v>286</v>
      </c>
      <c r="C8" s="129" t="s">
        <v>284</v>
      </c>
      <c r="D8" s="131">
        <v>1.0</v>
      </c>
      <c r="E8" s="132">
        <v>5000000.0</v>
      </c>
      <c r="F8" s="132">
        <f t="shared" si="1"/>
        <v>5000000</v>
      </c>
      <c r="G8" s="131">
        <v>5.0</v>
      </c>
      <c r="H8" s="132">
        <f t="shared" si="2"/>
        <v>1000000</v>
      </c>
      <c r="I8" s="132">
        <f t="shared" si="3"/>
        <v>83333.33333</v>
      </c>
      <c r="J8" s="129" t="s">
        <v>287</v>
      </c>
      <c r="K8" s="129" t="s">
        <v>276</v>
      </c>
      <c r="L8" s="129" t="s">
        <v>277</v>
      </c>
      <c r="M8" s="129"/>
    </row>
    <row r="9">
      <c r="A9" s="129">
        <v>6.0</v>
      </c>
      <c r="B9" s="129" t="s">
        <v>288</v>
      </c>
      <c r="C9" s="129" t="s">
        <v>284</v>
      </c>
      <c r="D9" s="131">
        <v>2.0</v>
      </c>
      <c r="E9" s="132">
        <v>1800000.0</v>
      </c>
      <c r="F9" s="132">
        <f t="shared" si="1"/>
        <v>3600000</v>
      </c>
      <c r="G9" s="131">
        <v>5.0</v>
      </c>
      <c r="H9" s="132">
        <f t="shared" si="2"/>
        <v>720000</v>
      </c>
      <c r="I9" s="132">
        <f t="shared" si="3"/>
        <v>60000</v>
      </c>
      <c r="J9" s="129" t="s">
        <v>287</v>
      </c>
      <c r="K9" s="129" t="s">
        <v>276</v>
      </c>
      <c r="L9" s="129" t="s">
        <v>277</v>
      </c>
      <c r="M9" s="129"/>
    </row>
    <row r="10">
      <c r="A10" s="129">
        <v>7.0</v>
      </c>
      <c r="B10" s="129" t="s">
        <v>289</v>
      </c>
      <c r="C10" s="129" t="s">
        <v>284</v>
      </c>
      <c r="D10" s="131">
        <v>2.0</v>
      </c>
      <c r="E10" s="132">
        <v>1500000.0</v>
      </c>
      <c r="F10" s="132">
        <f t="shared" si="1"/>
        <v>3000000</v>
      </c>
      <c r="G10" s="131">
        <v>5.0</v>
      </c>
      <c r="H10" s="132">
        <f t="shared" si="2"/>
        <v>600000</v>
      </c>
      <c r="I10" s="132">
        <f t="shared" si="3"/>
        <v>50000</v>
      </c>
      <c r="J10" s="129" t="s">
        <v>287</v>
      </c>
      <c r="K10" s="129" t="s">
        <v>276</v>
      </c>
      <c r="L10" s="129" t="s">
        <v>277</v>
      </c>
      <c r="M10" s="129"/>
    </row>
    <row r="11">
      <c r="A11" s="129">
        <v>8.0</v>
      </c>
      <c r="B11" s="129" t="s">
        <v>290</v>
      </c>
      <c r="C11" s="129" t="s">
        <v>284</v>
      </c>
      <c r="D11" s="131">
        <v>2.0</v>
      </c>
      <c r="E11" s="132">
        <v>1200000.0</v>
      </c>
      <c r="F11" s="132">
        <f t="shared" si="1"/>
        <v>2400000</v>
      </c>
      <c r="G11" s="131">
        <v>4.0</v>
      </c>
      <c r="H11" s="132">
        <f t="shared" si="2"/>
        <v>600000</v>
      </c>
      <c r="I11" s="132">
        <f t="shared" si="3"/>
        <v>50000</v>
      </c>
      <c r="J11" s="129" t="s">
        <v>287</v>
      </c>
      <c r="K11" s="129" t="s">
        <v>276</v>
      </c>
      <c r="L11" s="129" t="s">
        <v>277</v>
      </c>
      <c r="M11" s="129"/>
    </row>
    <row r="12">
      <c r="A12" s="129">
        <v>9.0</v>
      </c>
      <c r="B12" s="129" t="s">
        <v>291</v>
      </c>
      <c r="C12" s="129" t="s">
        <v>284</v>
      </c>
      <c r="D12" s="131">
        <v>1.0</v>
      </c>
      <c r="E12" s="132">
        <v>1.2E7</v>
      </c>
      <c r="F12" s="132">
        <f t="shared" si="1"/>
        <v>12000000</v>
      </c>
      <c r="G12" s="131">
        <v>5.0</v>
      </c>
      <c r="H12" s="132">
        <f t="shared" si="2"/>
        <v>2400000</v>
      </c>
      <c r="I12" s="132">
        <f t="shared" si="3"/>
        <v>200000</v>
      </c>
      <c r="J12" s="129" t="s">
        <v>292</v>
      </c>
      <c r="K12" s="129" t="s">
        <v>276</v>
      </c>
      <c r="L12" s="129" t="s">
        <v>277</v>
      </c>
      <c r="M12" s="129"/>
    </row>
    <row r="13">
      <c r="A13" s="129">
        <v>10.0</v>
      </c>
      <c r="B13" s="129" t="s">
        <v>293</v>
      </c>
      <c r="C13" s="129" t="s">
        <v>284</v>
      </c>
      <c r="D13" s="131">
        <v>1.0</v>
      </c>
      <c r="E13" s="132">
        <v>9000000.0</v>
      </c>
      <c r="F13" s="132">
        <f t="shared" si="1"/>
        <v>9000000</v>
      </c>
      <c r="G13" s="131">
        <v>5.0</v>
      </c>
      <c r="H13" s="132">
        <f t="shared" si="2"/>
        <v>1800000</v>
      </c>
      <c r="I13" s="132">
        <f t="shared" si="3"/>
        <v>150000</v>
      </c>
      <c r="J13" s="129" t="s">
        <v>294</v>
      </c>
      <c r="K13" s="129" t="s">
        <v>276</v>
      </c>
      <c r="L13" s="129" t="s">
        <v>277</v>
      </c>
      <c r="M13" s="129"/>
    </row>
    <row r="14">
      <c r="A14" s="129">
        <v>11.0</v>
      </c>
      <c r="B14" s="129" t="s">
        <v>295</v>
      </c>
      <c r="C14" s="129" t="s">
        <v>284</v>
      </c>
      <c r="D14" s="131">
        <v>1.0</v>
      </c>
      <c r="E14" s="132">
        <v>4000000.0</v>
      </c>
      <c r="F14" s="132">
        <f t="shared" si="1"/>
        <v>4000000</v>
      </c>
      <c r="G14" s="131">
        <v>5.0</v>
      </c>
      <c r="H14" s="132">
        <f t="shared" si="2"/>
        <v>800000</v>
      </c>
      <c r="I14" s="132">
        <f t="shared" si="3"/>
        <v>66666.66667</v>
      </c>
      <c r="J14" s="129" t="s">
        <v>296</v>
      </c>
      <c r="K14" s="129" t="s">
        <v>276</v>
      </c>
      <c r="L14" s="129" t="s">
        <v>277</v>
      </c>
      <c r="M14" s="129"/>
    </row>
    <row r="15">
      <c r="A15" s="129">
        <v>12.0</v>
      </c>
      <c r="B15" s="129" t="s">
        <v>297</v>
      </c>
      <c r="C15" s="129" t="s">
        <v>284</v>
      </c>
      <c r="D15" s="131">
        <v>1.0</v>
      </c>
      <c r="E15" s="132">
        <v>2500000.0</v>
      </c>
      <c r="F15" s="132">
        <f t="shared" si="1"/>
        <v>2500000</v>
      </c>
      <c r="G15" s="131">
        <v>4.0</v>
      </c>
      <c r="H15" s="132">
        <f t="shared" si="2"/>
        <v>625000</v>
      </c>
      <c r="I15" s="132">
        <f t="shared" si="3"/>
        <v>52083.33333</v>
      </c>
      <c r="J15" s="129" t="s">
        <v>287</v>
      </c>
      <c r="K15" s="129" t="s">
        <v>276</v>
      </c>
      <c r="L15" s="129" t="s">
        <v>277</v>
      </c>
      <c r="M15" s="129"/>
    </row>
    <row r="16">
      <c r="A16" s="129">
        <v>13.0</v>
      </c>
      <c r="B16" s="129" t="s">
        <v>298</v>
      </c>
      <c r="C16" s="129" t="s">
        <v>284</v>
      </c>
      <c r="D16" s="131">
        <v>1.0</v>
      </c>
      <c r="E16" s="132">
        <v>3000000.0</v>
      </c>
      <c r="F16" s="132">
        <f t="shared" si="1"/>
        <v>3000000</v>
      </c>
      <c r="G16" s="131">
        <v>5.0</v>
      </c>
      <c r="H16" s="132">
        <f t="shared" si="2"/>
        <v>600000</v>
      </c>
      <c r="I16" s="132">
        <f t="shared" si="3"/>
        <v>50000</v>
      </c>
      <c r="J16" s="129" t="s">
        <v>299</v>
      </c>
      <c r="K16" s="129" t="s">
        <v>276</v>
      </c>
      <c r="L16" s="129" t="s">
        <v>277</v>
      </c>
      <c r="M16" s="129"/>
    </row>
    <row r="17">
      <c r="A17" s="129">
        <v>14.0</v>
      </c>
      <c r="B17" s="129" t="s">
        <v>300</v>
      </c>
      <c r="C17" s="129" t="s">
        <v>284</v>
      </c>
      <c r="D17" s="131">
        <v>1.0</v>
      </c>
      <c r="E17" s="132">
        <v>1800000.0</v>
      </c>
      <c r="F17" s="132">
        <f t="shared" si="1"/>
        <v>1800000</v>
      </c>
      <c r="G17" s="131">
        <v>4.0</v>
      </c>
      <c r="H17" s="132">
        <f t="shared" si="2"/>
        <v>450000</v>
      </c>
      <c r="I17" s="132">
        <f t="shared" si="3"/>
        <v>37500</v>
      </c>
      <c r="J17" s="129" t="s">
        <v>301</v>
      </c>
      <c r="K17" s="129" t="s">
        <v>276</v>
      </c>
      <c r="L17" s="129" t="s">
        <v>277</v>
      </c>
      <c r="M17" s="129"/>
    </row>
    <row r="18">
      <c r="A18" s="129">
        <v>15.0</v>
      </c>
      <c r="B18" s="129" t="s">
        <v>302</v>
      </c>
      <c r="C18" s="129" t="s">
        <v>284</v>
      </c>
      <c r="D18" s="131">
        <v>1.0</v>
      </c>
      <c r="E18" s="132">
        <v>1.6E7</v>
      </c>
      <c r="F18" s="132">
        <f t="shared" si="1"/>
        <v>16000000</v>
      </c>
      <c r="G18" s="131">
        <v>4.0</v>
      </c>
      <c r="H18" s="132">
        <f t="shared" si="2"/>
        <v>4000000</v>
      </c>
      <c r="I18" s="132">
        <f t="shared" si="3"/>
        <v>333333.3333</v>
      </c>
      <c r="J18" s="129" t="s">
        <v>303</v>
      </c>
      <c r="K18" s="129" t="s">
        <v>276</v>
      </c>
      <c r="L18" s="129" t="s">
        <v>277</v>
      </c>
      <c r="M18" s="129"/>
    </row>
    <row r="19">
      <c r="A19" s="129">
        <v>16.0</v>
      </c>
      <c r="B19" s="129" t="s">
        <v>304</v>
      </c>
      <c r="C19" s="129" t="s">
        <v>284</v>
      </c>
      <c r="D19" s="131">
        <v>1.0</v>
      </c>
      <c r="E19" s="132">
        <v>8000000.0</v>
      </c>
      <c r="F19" s="132">
        <f t="shared" si="1"/>
        <v>8000000</v>
      </c>
      <c r="G19" s="131">
        <v>5.0</v>
      </c>
      <c r="H19" s="132">
        <f t="shared" si="2"/>
        <v>1600000</v>
      </c>
      <c r="I19" s="132">
        <f t="shared" si="3"/>
        <v>133333.3333</v>
      </c>
      <c r="J19" s="129" t="s">
        <v>305</v>
      </c>
      <c r="K19" s="129" t="s">
        <v>276</v>
      </c>
      <c r="L19" s="129" t="s">
        <v>277</v>
      </c>
      <c r="M19" s="129"/>
    </row>
    <row r="20">
      <c r="A20" s="129">
        <v>17.0</v>
      </c>
      <c r="B20" s="129" t="s">
        <v>306</v>
      </c>
      <c r="C20" s="129" t="s">
        <v>36</v>
      </c>
      <c r="D20" s="131">
        <v>4.0</v>
      </c>
      <c r="E20" s="132">
        <v>1800000.0</v>
      </c>
      <c r="F20" s="132">
        <f t="shared" si="1"/>
        <v>7200000</v>
      </c>
      <c r="G20" s="131">
        <v>5.0</v>
      </c>
      <c r="H20" s="132">
        <f t="shared" si="2"/>
        <v>1440000</v>
      </c>
      <c r="I20" s="132">
        <f t="shared" si="3"/>
        <v>120000</v>
      </c>
      <c r="J20" s="129" t="s">
        <v>307</v>
      </c>
      <c r="K20" s="129" t="s">
        <v>276</v>
      </c>
      <c r="L20" s="129" t="s">
        <v>277</v>
      </c>
      <c r="M20" s="129"/>
    </row>
    <row r="21" ht="15.75" customHeight="1">
      <c r="A21" s="129">
        <v>18.0</v>
      </c>
      <c r="B21" s="129" t="s">
        <v>308</v>
      </c>
      <c r="C21" s="129" t="s">
        <v>36</v>
      </c>
      <c r="D21" s="131">
        <v>2.0</v>
      </c>
      <c r="E21" s="132">
        <v>2000000.0</v>
      </c>
      <c r="F21" s="132">
        <f t="shared" si="1"/>
        <v>4000000</v>
      </c>
      <c r="G21" s="131">
        <v>5.0</v>
      </c>
      <c r="H21" s="132">
        <f t="shared" si="2"/>
        <v>800000</v>
      </c>
      <c r="I21" s="132">
        <f t="shared" si="3"/>
        <v>66666.66667</v>
      </c>
      <c r="J21" s="129" t="s">
        <v>275</v>
      </c>
      <c r="K21" s="129" t="s">
        <v>276</v>
      </c>
      <c r="L21" s="129" t="s">
        <v>277</v>
      </c>
      <c r="M21" s="129"/>
    </row>
    <row r="22" ht="15.75" customHeight="1">
      <c r="A22" s="129">
        <v>19.0</v>
      </c>
      <c r="B22" s="129" t="s">
        <v>309</v>
      </c>
      <c r="C22" s="129" t="s">
        <v>279</v>
      </c>
      <c r="D22" s="131">
        <v>8.0</v>
      </c>
      <c r="E22" s="132">
        <v>500000.0</v>
      </c>
      <c r="F22" s="132">
        <f t="shared" si="1"/>
        <v>4000000</v>
      </c>
      <c r="G22" s="131">
        <v>5.0</v>
      </c>
      <c r="H22" s="132">
        <f t="shared" si="2"/>
        <v>800000</v>
      </c>
      <c r="I22" s="132">
        <f t="shared" si="3"/>
        <v>66666.66667</v>
      </c>
      <c r="J22" s="129" t="s">
        <v>275</v>
      </c>
      <c r="K22" s="129" t="s">
        <v>276</v>
      </c>
      <c r="L22" s="129" t="s">
        <v>277</v>
      </c>
      <c r="M22" s="129"/>
    </row>
    <row r="23" ht="15.75" customHeight="1">
      <c r="A23" s="129">
        <v>20.0</v>
      </c>
      <c r="B23" s="129" t="s">
        <v>310</v>
      </c>
      <c r="C23" s="129" t="s">
        <v>282</v>
      </c>
      <c r="D23" s="131">
        <v>2.0</v>
      </c>
      <c r="E23" s="132">
        <v>3000000.0</v>
      </c>
      <c r="F23" s="132">
        <f t="shared" si="1"/>
        <v>6000000</v>
      </c>
      <c r="G23" s="131">
        <v>5.0</v>
      </c>
      <c r="H23" s="132">
        <f t="shared" si="2"/>
        <v>1200000</v>
      </c>
      <c r="I23" s="132">
        <f t="shared" si="3"/>
        <v>100000</v>
      </c>
      <c r="J23" s="129" t="s">
        <v>275</v>
      </c>
      <c r="K23" s="129" t="s">
        <v>276</v>
      </c>
      <c r="L23" s="129" t="s">
        <v>277</v>
      </c>
      <c r="M23" s="129"/>
    </row>
    <row r="24" ht="15.75" customHeight="1">
      <c r="A24" s="136" t="s">
        <v>311</v>
      </c>
      <c r="B24" s="137"/>
      <c r="C24" s="137"/>
      <c r="D24" s="137"/>
      <c r="E24" s="138"/>
      <c r="F24" s="139">
        <f>SUM(F4:F23)</f>
        <v>121800000</v>
      </c>
      <c r="G24" s="140"/>
      <c r="H24" s="139">
        <f t="shared" ref="H24:I24" si="4">SUM(H4:H23)</f>
        <v>25495000</v>
      </c>
      <c r="I24" s="139">
        <f t="shared" si="4"/>
        <v>2124583.333</v>
      </c>
      <c r="J24" s="140"/>
      <c r="K24" s="140"/>
      <c r="L24" s="140"/>
      <c r="M24" s="140"/>
    </row>
    <row r="25" ht="15.75" customHeight="1"/>
    <row r="26" ht="15.75" customHeight="1">
      <c r="A26" s="126" t="s">
        <v>312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6"/>
    </row>
    <row r="27" ht="15.75" customHeight="1">
      <c r="A27" s="128" t="s">
        <v>6</v>
      </c>
      <c r="B27" s="128" t="s">
        <v>267</v>
      </c>
      <c r="C27" s="128" t="s">
        <v>13</v>
      </c>
      <c r="D27" s="128" t="s">
        <v>213</v>
      </c>
      <c r="E27" s="128" t="s">
        <v>23</v>
      </c>
      <c r="F27" s="128" t="s">
        <v>268</v>
      </c>
      <c r="G27" s="128" t="s">
        <v>313</v>
      </c>
      <c r="H27" s="128" t="s">
        <v>314</v>
      </c>
      <c r="I27" s="128" t="s">
        <v>315</v>
      </c>
      <c r="J27" s="128" t="s">
        <v>316</v>
      </c>
      <c r="K27" s="128" t="s">
        <v>317</v>
      </c>
      <c r="L27" s="128" t="s">
        <v>12</v>
      </c>
      <c r="M27" s="128"/>
    </row>
    <row r="28" ht="15.75" customHeight="1">
      <c r="A28" s="129">
        <v>1.0</v>
      </c>
      <c r="B28" s="129" t="s">
        <v>35</v>
      </c>
      <c r="C28" s="129" t="s">
        <v>318</v>
      </c>
      <c r="D28" s="129">
        <v>5.0</v>
      </c>
      <c r="E28" s="132">
        <v>200.0</v>
      </c>
      <c r="F28" s="132">
        <f t="shared" ref="F28:F37" si="5">D28*E28</f>
        <v>1000</v>
      </c>
      <c r="G28" s="129">
        <v>2.0</v>
      </c>
      <c r="H28" s="132">
        <f t="shared" ref="H28:H37" si="6">F28/G28</f>
        <v>500</v>
      </c>
      <c r="I28" s="132">
        <f t="shared" ref="I28:I37" si="7">H28/12</f>
        <v>41.66666667</v>
      </c>
      <c r="J28" s="129" t="s">
        <v>319</v>
      </c>
      <c r="K28" s="129" t="s">
        <v>320</v>
      </c>
      <c r="L28" s="141" t="s">
        <v>321</v>
      </c>
      <c r="M28" s="129"/>
    </row>
    <row r="29" ht="15.75" customHeight="1">
      <c r="A29" s="129">
        <v>2.0</v>
      </c>
      <c r="B29" s="129" t="s">
        <v>48</v>
      </c>
      <c r="C29" s="129" t="s">
        <v>318</v>
      </c>
      <c r="D29" s="129">
        <v>5.0</v>
      </c>
      <c r="E29" s="132">
        <v>300.0</v>
      </c>
      <c r="F29" s="132">
        <f t="shared" si="5"/>
        <v>1500</v>
      </c>
      <c r="G29" s="129">
        <v>2.0</v>
      </c>
      <c r="H29" s="132">
        <f t="shared" si="6"/>
        <v>750</v>
      </c>
      <c r="I29" s="132">
        <f t="shared" si="7"/>
        <v>62.5</v>
      </c>
      <c r="J29" s="129" t="s">
        <v>319</v>
      </c>
      <c r="K29" s="129" t="s">
        <v>320</v>
      </c>
      <c r="L29" s="141" t="s">
        <v>323</v>
      </c>
      <c r="M29" s="129"/>
    </row>
    <row r="30" ht="15.75" customHeight="1">
      <c r="A30" s="129">
        <v>3.0</v>
      </c>
      <c r="B30" s="129" t="s">
        <v>324</v>
      </c>
      <c r="C30" s="129" t="s">
        <v>318</v>
      </c>
      <c r="D30" s="129">
        <v>5.0</v>
      </c>
      <c r="E30" s="132">
        <v>200.0</v>
      </c>
      <c r="F30" s="132">
        <f t="shared" si="5"/>
        <v>1000</v>
      </c>
      <c r="G30" s="129">
        <v>2.0</v>
      </c>
      <c r="H30" s="132">
        <f t="shared" si="6"/>
        <v>500</v>
      </c>
      <c r="I30" s="132">
        <f t="shared" si="7"/>
        <v>41.66666667</v>
      </c>
      <c r="J30" s="129" t="s">
        <v>319</v>
      </c>
      <c r="K30" s="129" t="s">
        <v>320</v>
      </c>
      <c r="L30" s="141" t="s">
        <v>325</v>
      </c>
      <c r="M30" s="129"/>
    </row>
    <row r="31" ht="15.75" customHeight="1">
      <c r="A31" s="129">
        <v>4.0</v>
      </c>
      <c r="B31" s="129" t="s">
        <v>76</v>
      </c>
      <c r="C31" s="129" t="s">
        <v>36</v>
      </c>
      <c r="D31" s="129">
        <v>2.0</v>
      </c>
      <c r="E31" s="132">
        <v>1500000.0</v>
      </c>
      <c r="F31" s="132">
        <f t="shared" si="5"/>
        <v>3000000</v>
      </c>
      <c r="G31" s="129">
        <v>2.0</v>
      </c>
      <c r="H31" s="132">
        <f t="shared" si="6"/>
        <v>1500000</v>
      </c>
      <c r="I31" s="132">
        <f t="shared" si="7"/>
        <v>125000</v>
      </c>
      <c r="J31" s="129" t="s">
        <v>327</v>
      </c>
      <c r="K31" s="129" t="s">
        <v>320</v>
      </c>
      <c r="L31" s="141" t="s">
        <v>328</v>
      </c>
      <c r="M31" s="129"/>
    </row>
    <row r="32" ht="15.75" customHeight="1">
      <c r="A32" s="129">
        <v>5.0</v>
      </c>
      <c r="B32" s="129" t="s">
        <v>68</v>
      </c>
      <c r="C32" s="129" t="s">
        <v>36</v>
      </c>
      <c r="D32" s="129">
        <v>3.0</v>
      </c>
      <c r="E32" s="132">
        <v>800.0</v>
      </c>
      <c r="F32" s="132">
        <f t="shared" si="5"/>
        <v>2400</v>
      </c>
      <c r="G32" s="129">
        <v>2.0</v>
      </c>
      <c r="H32" s="132">
        <f t="shared" si="6"/>
        <v>1200</v>
      </c>
      <c r="I32" s="132">
        <f t="shared" si="7"/>
        <v>100</v>
      </c>
      <c r="J32" s="129" t="s">
        <v>330</v>
      </c>
      <c r="K32" s="129" t="s">
        <v>320</v>
      </c>
      <c r="L32" s="141" t="s">
        <v>331</v>
      </c>
      <c r="M32" s="129"/>
    </row>
    <row r="33" ht="15.75" customHeight="1">
      <c r="A33" s="129">
        <v>6.0</v>
      </c>
      <c r="B33" s="129" t="s">
        <v>86</v>
      </c>
      <c r="C33" s="129" t="s">
        <v>318</v>
      </c>
      <c r="D33" s="129">
        <v>5.0</v>
      </c>
      <c r="E33" s="132">
        <v>250.0</v>
      </c>
      <c r="F33" s="132">
        <f t="shared" si="5"/>
        <v>1250</v>
      </c>
      <c r="G33" s="129">
        <v>2.0</v>
      </c>
      <c r="H33" s="132">
        <f t="shared" si="6"/>
        <v>625</v>
      </c>
      <c r="I33" s="132">
        <f t="shared" si="7"/>
        <v>52.08333333</v>
      </c>
      <c r="J33" s="129" t="s">
        <v>319</v>
      </c>
      <c r="K33" s="129" t="s">
        <v>320</v>
      </c>
      <c r="L33" s="141" t="s">
        <v>332</v>
      </c>
      <c r="M33" s="129"/>
    </row>
    <row r="34" ht="15.75" customHeight="1">
      <c r="A34" s="129">
        <v>7.0</v>
      </c>
      <c r="B34" s="129" t="s">
        <v>95</v>
      </c>
      <c r="C34" s="129" t="s">
        <v>318</v>
      </c>
      <c r="D34" s="129">
        <v>5.0</v>
      </c>
      <c r="E34" s="132">
        <v>250.0</v>
      </c>
      <c r="F34" s="132">
        <f t="shared" si="5"/>
        <v>1250</v>
      </c>
      <c r="G34" s="129">
        <v>2.0</v>
      </c>
      <c r="H34" s="132">
        <f t="shared" si="6"/>
        <v>625</v>
      </c>
      <c r="I34" s="132">
        <f t="shared" si="7"/>
        <v>52.08333333</v>
      </c>
      <c r="J34" s="129" t="s">
        <v>319</v>
      </c>
      <c r="K34" s="129" t="s">
        <v>320</v>
      </c>
      <c r="L34" s="141" t="s">
        <v>333</v>
      </c>
      <c r="M34" s="129"/>
    </row>
    <row r="35" ht="15.75" customHeight="1">
      <c r="A35" s="129">
        <v>8.0</v>
      </c>
      <c r="B35" s="129" t="s">
        <v>106</v>
      </c>
      <c r="C35" s="129" t="s">
        <v>318</v>
      </c>
      <c r="D35" s="129">
        <v>5.0</v>
      </c>
      <c r="E35" s="132">
        <v>200.0</v>
      </c>
      <c r="F35" s="132">
        <f t="shared" si="5"/>
        <v>1000</v>
      </c>
      <c r="G35" s="129">
        <v>2.0</v>
      </c>
      <c r="H35" s="132">
        <f t="shared" si="6"/>
        <v>500</v>
      </c>
      <c r="I35" s="132">
        <f t="shared" si="7"/>
        <v>41.66666667</v>
      </c>
      <c r="J35" s="129" t="s">
        <v>334</v>
      </c>
      <c r="K35" s="129" t="s">
        <v>320</v>
      </c>
      <c r="L35" s="141" t="s">
        <v>335</v>
      </c>
      <c r="M35" s="129"/>
    </row>
    <row r="36" ht="15.75" customHeight="1">
      <c r="A36" s="129">
        <v>9.0</v>
      </c>
      <c r="B36" s="129" t="s">
        <v>336</v>
      </c>
      <c r="C36" s="129" t="s">
        <v>36</v>
      </c>
      <c r="D36" s="129">
        <v>5.0</v>
      </c>
      <c r="E36" s="132">
        <v>400.0</v>
      </c>
      <c r="F36" s="132">
        <f t="shared" si="5"/>
        <v>2000</v>
      </c>
      <c r="G36" s="129">
        <v>2.0</v>
      </c>
      <c r="H36" s="132">
        <f t="shared" si="6"/>
        <v>1000</v>
      </c>
      <c r="I36" s="132">
        <f t="shared" si="7"/>
        <v>83.33333333</v>
      </c>
      <c r="J36" s="129" t="s">
        <v>319</v>
      </c>
      <c r="K36" s="129" t="s">
        <v>320</v>
      </c>
      <c r="L36" s="141" t="s">
        <v>337</v>
      </c>
      <c r="M36" s="129"/>
    </row>
    <row r="37" ht="15.75" customHeight="1">
      <c r="A37" s="129">
        <v>10.0</v>
      </c>
      <c r="B37" s="129" t="s">
        <v>124</v>
      </c>
      <c r="C37" s="129" t="s">
        <v>36</v>
      </c>
      <c r="D37" s="129">
        <v>3.0</v>
      </c>
      <c r="E37" s="132">
        <v>300.0</v>
      </c>
      <c r="F37" s="132">
        <f t="shared" si="5"/>
        <v>900</v>
      </c>
      <c r="G37" s="129">
        <v>2.0</v>
      </c>
      <c r="H37" s="132">
        <f t="shared" si="6"/>
        <v>450</v>
      </c>
      <c r="I37" s="132">
        <f t="shared" si="7"/>
        <v>37.5</v>
      </c>
      <c r="J37" s="129" t="s">
        <v>319</v>
      </c>
      <c r="K37" s="129" t="s">
        <v>320</v>
      </c>
      <c r="L37" s="141" t="s">
        <v>338</v>
      </c>
      <c r="M37" s="129"/>
    </row>
    <row r="38" ht="15.75" customHeight="1">
      <c r="A38" s="136" t="s">
        <v>339</v>
      </c>
      <c r="B38" s="137"/>
      <c r="C38" s="137"/>
      <c r="D38" s="137"/>
      <c r="E38" s="138"/>
      <c r="F38" s="139">
        <f>SUM(F28:F37)</f>
        <v>3012300</v>
      </c>
      <c r="G38" s="140"/>
      <c r="H38" s="139">
        <f t="shared" ref="H38:I38" si="8">SUM(H28:H37)</f>
        <v>1506150</v>
      </c>
      <c r="I38" s="139">
        <f t="shared" si="8"/>
        <v>125512.5</v>
      </c>
      <c r="J38" s="140"/>
      <c r="K38" s="140"/>
      <c r="L38" s="140"/>
      <c r="M38" s="140"/>
    </row>
    <row r="39" ht="15.75" customHeight="1"/>
    <row r="40" ht="15.75" customHeight="1">
      <c r="A40" s="148" t="s">
        <v>341</v>
      </c>
      <c r="B40" s="137"/>
      <c r="C40" s="137"/>
      <c r="D40" s="137"/>
      <c r="E40" s="138"/>
      <c r="F40" s="149">
        <f>F24+F38</f>
        <v>124812300</v>
      </c>
      <c r="G40" s="150"/>
      <c r="H40" s="149">
        <f t="shared" ref="H40:I40" si="9">H24+H38</f>
        <v>27001150</v>
      </c>
      <c r="I40" s="149">
        <f t="shared" si="9"/>
        <v>2250095.833</v>
      </c>
      <c r="J40" s="150"/>
      <c r="K40" s="150"/>
      <c r="L40" s="150"/>
      <c r="M40" s="150"/>
    </row>
    <row r="41" ht="15.75" customHeight="1"/>
    <row r="42" ht="15.75" customHeight="1">
      <c r="A42" s="151" t="s">
        <v>342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8"/>
    </row>
    <row r="43" ht="15.75" customHeight="1">
      <c r="A43" s="151" t="s">
        <v>343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8"/>
    </row>
    <row r="44" ht="15.75" customHeight="1">
      <c r="A44" s="151" t="s">
        <v>345</v>
      </c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8"/>
    </row>
    <row r="45" ht="15.75" customHeight="1">
      <c r="A45" s="151" t="s">
        <v>346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8"/>
    </row>
    <row r="46" ht="15.75" customHeight="1">
      <c r="A46" s="158" t="s">
        <v>347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8"/>
    </row>
    <row r="47" ht="15.75" customHeight="1">
      <c r="A47" s="158" t="s">
        <v>350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4:L44"/>
    <mergeCell ref="A45:L45"/>
    <mergeCell ref="A46:L46"/>
    <mergeCell ref="A47:L47"/>
    <mergeCell ref="A1:M1"/>
    <mergeCell ref="A24:E24"/>
    <mergeCell ref="A26:L26"/>
    <mergeCell ref="A38:E38"/>
    <mergeCell ref="A40:E40"/>
    <mergeCell ref="A42:L42"/>
    <mergeCell ref="A43:L4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71"/>
  </cols>
  <sheetData>
    <row r="1">
      <c r="A1" s="2" t="s">
        <v>322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5</v>
      </c>
    </row>
    <row r="3">
      <c r="A3" s="16" t="s">
        <v>6</v>
      </c>
      <c r="B3" s="16" t="s">
        <v>326</v>
      </c>
      <c r="C3" s="16" t="s">
        <v>248</v>
      </c>
      <c r="D3" s="16" t="s">
        <v>249</v>
      </c>
      <c r="E3" s="16" t="s">
        <v>250</v>
      </c>
      <c r="F3" s="16" t="s">
        <v>251</v>
      </c>
      <c r="G3" s="16" t="s">
        <v>252</v>
      </c>
      <c r="H3" s="16" t="s">
        <v>253</v>
      </c>
      <c r="I3" s="16" t="s">
        <v>254</v>
      </c>
      <c r="J3" s="16" t="s">
        <v>255</v>
      </c>
      <c r="K3" s="16" t="s">
        <v>256</v>
      </c>
      <c r="L3" s="16" t="s">
        <v>258</v>
      </c>
      <c r="M3" s="16" t="s">
        <v>259</v>
      </c>
      <c r="N3" s="16" t="s">
        <v>260</v>
      </c>
      <c r="O3" s="16" t="s">
        <v>161</v>
      </c>
    </row>
    <row r="4">
      <c r="A4" s="142"/>
      <c r="B4" s="142" t="s">
        <v>329</v>
      </c>
      <c r="C4" s="143">
        <f>'7.Ước tính doanh thu'!D37</f>
        <v>100764000</v>
      </c>
      <c r="D4" s="143">
        <f>'7.Ước tính doanh thu'!E37</f>
        <v>109363000</v>
      </c>
      <c r="E4" s="144">
        <f>'7.Ước tính doanh thu'!F37</f>
        <v>87665000</v>
      </c>
      <c r="F4" s="143">
        <f>'7.Ước tính doanh thu'!G37</f>
        <v>85673000</v>
      </c>
      <c r="G4" s="143">
        <f>'7.Ước tính doanh thu'!H37</f>
        <v>89265000</v>
      </c>
      <c r="H4" s="143">
        <f>'7.Ước tính doanh thu'!I37</f>
        <v>104803000</v>
      </c>
      <c r="I4" s="145">
        <f>'7.Ước tính doanh thu'!J37</f>
        <v>87446000</v>
      </c>
      <c r="J4" s="143">
        <f>'7.Ước tính doanh thu'!K37</f>
        <v>93750000</v>
      </c>
      <c r="K4" s="143">
        <f>'7.Ước tính doanh thu'!L37</f>
        <v>111671000</v>
      </c>
      <c r="L4" s="143">
        <f>'7.Ước tính doanh thu'!M37</f>
        <v>96927000</v>
      </c>
      <c r="M4" s="143">
        <f>'7.Ước tính doanh thu'!N37</f>
        <v>104786000</v>
      </c>
      <c r="N4" s="143">
        <f>'7.Ước tính doanh thu'!O37</f>
        <v>108628000</v>
      </c>
      <c r="O4" s="146">
        <f t="shared" ref="O4:O11" si="1">SUM(C4:N4)</f>
        <v>1180741000</v>
      </c>
    </row>
    <row r="5">
      <c r="A5" s="147">
        <v>1.0</v>
      </c>
      <c r="B5" s="24" t="s">
        <v>340</v>
      </c>
      <c r="C5" s="34">
        <f>'8.CP giá vốn'!D39</f>
        <v>55945000</v>
      </c>
      <c r="D5" s="34">
        <f>'8.CP giá vốn'!E39</f>
        <v>60780000</v>
      </c>
      <c r="E5" s="34">
        <f>'8.CP giá vốn'!F39</f>
        <v>48090000</v>
      </c>
      <c r="F5" s="34">
        <f>'8.CP giá vốn'!G39</f>
        <v>46460000</v>
      </c>
      <c r="G5" s="34">
        <f>'8.CP giá vốn'!H39</f>
        <v>48790000</v>
      </c>
      <c r="H5" s="34">
        <f>'8.CP giá vốn'!I39</f>
        <v>57925000</v>
      </c>
      <c r="I5" s="34">
        <f>'8.CP giá vốn'!J39</f>
        <v>48045000</v>
      </c>
      <c r="J5" s="34">
        <f>'8.CP giá vốn'!K39</f>
        <v>52060000</v>
      </c>
      <c r="K5" s="34">
        <f>'8.CP giá vốn'!L39</f>
        <v>62450000</v>
      </c>
      <c r="L5" s="34">
        <f>'8.CP giá vốn'!M39</f>
        <v>54305000</v>
      </c>
      <c r="M5" s="34">
        <f>'8.CP giá vốn'!N39</f>
        <v>58800000</v>
      </c>
      <c r="N5" s="34">
        <f>'8.CP giá vốn'!O39</f>
        <v>61065000</v>
      </c>
      <c r="O5" s="152">
        <f t="shared" si="1"/>
        <v>654715000</v>
      </c>
    </row>
    <row r="6">
      <c r="A6" s="147">
        <v>2.0</v>
      </c>
      <c r="B6" s="153" t="s">
        <v>344</v>
      </c>
      <c r="C6" s="154">
        <v>1.4E7</v>
      </c>
      <c r="D6" s="154">
        <v>2.0E7</v>
      </c>
      <c r="E6" s="154">
        <v>8000000.0</v>
      </c>
      <c r="F6" s="155">
        <v>1.35E7</v>
      </c>
      <c r="G6" s="155">
        <v>1.7E7</v>
      </c>
      <c r="H6" s="155">
        <v>2.0E7</v>
      </c>
      <c r="I6" s="155">
        <v>1.5E7</v>
      </c>
      <c r="J6" s="155">
        <v>1.4E7</v>
      </c>
      <c r="K6" s="155">
        <v>2.0E7</v>
      </c>
      <c r="L6" s="155">
        <v>1.15E7</v>
      </c>
      <c r="M6" s="155">
        <v>1.3E7</v>
      </c>
      <c r="N6" s="156">
        <v>1.13E8</v>
      </c>
      <c r="O6" s="157">
        <f t="shared" si="1"/>
        <v>279000000</v>
      </c>
    </row>
    <row r="7">
      <c r="A7" s="28">
        <v>3.0</v>
      </c>
      <c r="B7" s="153" t="s">
        <v>348</v>
      </c>
      <c r="C7" s="155">
        <v>3000000.0</v>
      </c>
      <c r="D7" s="155">
        <v>2200000.0</v>
      </c>
      <c r="E7" s="155">
        <v>2700000.0</v>
      </c>
      <c r="F7" s="155">
        <v>2800000.0</v>
      </c>
      <c r="G7" s="155">
        <v>3200000.0</v>
      </c>
      <c r="H7" s="155">
        <v>3800000.0</v>
      </c>
      <c r="I7" s="155">
        <v>3000000.0</v>
      </c>
      <c r="J7" s="155">
        <v>2900000.0</v>
      </c>
      <c r="K7" s="155">
        <v>2200000.0</v>
      </c>
      <c r="L7" s="155">
        <v>2500000.0</v>
      </c>
      <c r="M7" s="155">
        <v>3500000.0</v>
      </c>
      <c r="N7" s="155">
        <v>4200000.0</v>
      </c>
      <c r="O7" s="157">
        <f t="shared" si="1"/>
        <v>36000000</v>
      </c>
    </row>
    <row r="8">
      <c r="A8" s="28">
        <v>4.0</v>
      </c>
      <c r="B8" s="153" t="s">
        <v>349</v>
      </c>
      <c r="C8" s="155">
        <v>3.5E7</v>
      </c>
      <c r="D8" s="155">
        <v>3.5E7</v>
      </c>
      <c r="E8" s="155">
        <v>3.5E7</v>
      </c>
      <c r="F8" s="155">
        <v>3.5E7</v>
      </c>
      <c r="G8" s="155">
        <v>3.5E7</v>
      </c>
      <c r="H8" s="155">
        <v>3.5E7</v>
      </c>
      <c r="I8" s="155">
        <v>3.5E7</v>
      </c>
      <c r="J8" s="155">
        <v>3.5E7</v>
      </c>
      <c r="K8" s="155">
        <v>3.5E7</v>
      </c>
      <c r="L8" s="155">
        <v>3.5E7</v>
      </c>
      <c r="M8" s="155">
        <v>3.5E7</v>
      </c>
      <c r="N8" s="155">
        <v>3.5E7</v>
      </c>
      <c r="O8" s="157">
        <f t="shared" si="1"/>
        <v>420000000</v>
      </c>
    </row>
    <row r="9">
      <c r="A9" s="28">
        <v>5.0</v>
      </c>
      <c r="B9" s="153" t="s">
        <v>351</v>
      </c>
      <c r="C9" s="155">
        <v>1600000.0</v>
      </c>
      <c r="D9" s="155">
        <v>3000000.0</v>
      </c>
      <c r="E9" s="155">
        <v>1500000.0</v>
      </c>
      <c r="F9" s="155">
        <v>1400000.0</v>
      </c>
      <c r="G9" s="155">
        <v>1700000.0</v>
      </c>
      <c r="H9" s="155">
        <v>3200000.0</v>
      </c>
      <c r="I9" s="155">
        <v>1600000.0</v>
      </c>
      <c r="J9" s="155">
        <v>1800000.0</v>
      </c>
      <c r="K9" s="155">
        <v>3400000.0</v>
      </c>
      <c r="L9" s="155">
        <v>1500000.0</v>
      </c>
      <c r="M9" s="155">
        <v>1400000.0</v>
      </c>
      <c r="N9" s="155">
        <v>1900000.0</v>
      </c>
      <c r="O9" s="157">
        <f t="shared" si="1"/>
        <v>24000000</v>
      </c>
    </row>
    <row r="10">
      <c r="A10" s="28">
        <v>5.0</v>
      </c>
      <c r="B10" s="153" t="s">
        <v>352</v>
      </c>
      <c r="C10" s="154">
        <v>1.4E7</v>
      </c>
      <c r="D10" s="154">
        <v>1.4E7</v>
      </c>
      <c r="E10" s="155">
        <v>1.4E7</v>
      </c>
      <c r="F10" s="155">
        <v>1.4E7</v>
      </c>
      <c r="G10" s="155">
        <v>1.4E7</v>
      </c>
      <c r="H10" s="155">
        <v>1.4E7</v>
      </c>
      <c r="I10" s="155">
        <v>1.4E7</v>
      </c>
      <c r="J10" s="155">
        <v>1.4E7</v>
      </c>
      <c r="K10" s="155">
        <v>1.4E7</v>
      </c>
      <c r="L10" s="155">
        <v>1.4E7</v>
      </c>
      <c r="M10" s="155">
        <v>1.4E7</v>
      </c>
      <c r="N10" s="155">
        <v>1.4E7</v>
      </c>
      <c r="O10" s="157">
        <f t="shared" si="1"/>
        <v>168000000</v>
      </c>
    </row>
    <row r="11">
      <c r="A11" s="28">
        <v>6.0</v>
      </c>
      <c r="B11" s="153" t="s">
        <v>353</v>
      </c>
      <c r="C11" s="154">
        <v>834000.0</v>
      </c>
      <c r="D11" s="155">
        <v>834000.0</v>
      </c>
      <c r="E11" s="155">
        <v>834000.0</v>
      </c>
      <c r="F11" s="155">
        <v>834000.0</v>
      </c>
      <c r="G11" s="155">
        <v>834000.0</v>
      </c>
      <c r="H11" s="155">
        <v>834000.0</v>
      </c>
      <c r="I11" s="155">
        <v>834000.0</v>
      </c>
      <c r="J11" s="155">
        <v>834000.0</v>
      </c>
      <c r="K11" s="155">
        <v>834000.0</v>
      </c>
      <c r="L11" s="155">
        <v>834000.0</v>
      </c>
      <c r="M11" s="155">
        <v>834000.0</v>
      </c>
      <c r="N11" s="155">
        <v>834000.0</v>
      </c>
      <c r="O11" s="157">
        <f t="shared" si="1"/>
        <v>10008000</v>
      </c>
    </row>
    <row r="12">
      <c r="A12" s="28">
        <v>7.0</v>
      </c>
      <c r="B12" s="153" t="s">
        <v>354</v>
      </c>
      <c r="C12" s="155">
        <v>2050000.0</v>
      </c>
      <c r="D12" s="155">
        <v>2500000.0</v>
      </c>
      <c r="E12" s="155">
        <v>2000000.0</v>
      </c>
      <c r="F12" s="155">
        <v>1950000.0</v>
      </c>
      <c r="G12" s="155">
        <v>2050000.0</v>
      </c>
      <c r="H12" s="155">
        <v>2600000.0</v>
      </c>
      <c r="I12" s="155">
        <v>2000000.0</v>
      </c>
      <c r="J12" s="155">
        <v>2100000.0</v>
      </c>
      <c r="K12" s="155">
        <v>2650000.0</v>
      </c>
      <c r="L12" s="155">
        <v>2000000.0</v>
      </c>
      <c r="M12" s="155">
        <v>1950000.0</v>
      </c>
      <c r="N12" s="155">
        <v>2150000.0</v>
      </c>
      <c r="O12" s="157">
        <f>SUM(B12:N12)</f>
        <v>26000000</v>
      </c>
    </row>
    <row r="13">
      <c r="A13" s="159"/>
      <c r="B13" s="159" t="s">
        <v>355</v>
      </c>
      <c r="C13" s="160">
        <f t="shared" ref="C13:O13" si="2">SUM(C6:C12)</f>
        <v>70484000</v>
      </c>
      <c r="D13" s="160">
        <f t="shared" si="2"/>
        <v>77534000</v>
      </c>
      <c r="E13" s="160">
        <f t="shared" si="2"/>
        <v>64034000</v>
      </c>
      <c r="F13" s="161">
        <f t="shared" si="2"/>
        <v>69484000</v>
      </c>
      <c r="G13" s="161">
        <f t="shared" si="2"/>
        <v>73784000</v>
      </c>
      <c r="H13" s="161">
        <f t="shared" si="2"/>
        <v>79434000</v>
      </c>
      <c r="I13" s="161">
        <f t="shared" si="2"/>
        <v>71434000</v>
      </c>
      <c r="J13" s="161">
        <f t="shared" si="2"/>
        <v>70634000</v>
      </c>
      <c r="K13" s="161">
        <f t="shared" si="2"/>
        <v>78084000</v>
      </c>
      <c r="L13" s="161">
        <f t="shared" si="2"/>
        <v>67334000</v>
      </c>
      <c r="M13" s="161">
        <f t="shared" si="2"/>
        <v>69684000</v>
      </c>
      <c r="N13" s="161">
        <f t="shared" si="2"/>
        <v>171084000</v>
      </c>
      <c r="O13" s="161">
        <f t="shared" si="2"/>
        <v>963008000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</sheetData>
  <mergeCells count="1">
    <mergeCell ref="A1:O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7.86"/>
    <col customWidth="1" min="10" max="10" width="27.43"/>
    <col customWidth="1" min="11" max="11" width="31.0"/>
    <col customWidth="1" min="12" max="12" width="49.71"/>
  </cols>
  <sheetData>
    <row r="1">
      <c r="A1" s="7" t="s">
        <v>356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/>
      <c r="B2" s="3"/>
      <c r="C2" s="3"/>
      <c r="D2" s="12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62" t="s">
        <v>6</v>
      </c>
      <c r="B3" s="162" t="s">
        <v>357</v>
      </c>
      <c r="C3" s="162" t="s">
        <v>358</v>
      </c>
      <c r="D3" s="92" t="s">
        <v>12</v>
      </c>
      <c r="E3" s="3"/>
      <c r="F3" s="3"/>
      <c r="G3" s="3"/>
      <c r="H3" s="3"/>
      <c r="I3" s="162" t="s">
        <v>6</v>
      </c>
      <c r="J3" s="162" t="s">
        <v>357</v>
      </c>
      <c r="K3" s="162" t="s">
        <v>359</v>
      </c>
      <c r="L3" s="92" t="s">
        <v>12</v>
      </c>
      <c r="M3" s="3"/>
      <c r="N3" s="3"/>
    </row>
    <row r="4">
      <c r="A4" s="99" t="s">
        <v>39</v>
      </c>
      <c r="B4" s="99" t="s">
        <v>360</v>
      </c>
      <c r="C4" s="163"/>
      <c r="D4" s="164" t="s">
        <v>361</v>
      </c>
      <c r="E4" s="3"/>
      <c r="F4" s="3"/>
      <c r="G4" s="3"/>
      <c r="H4" s="3"/>
      <c r="I4" s="99" t="s">
        <v>39</v>
      </c>
      <c r="J4" s="99" t="s">
        <v>362</v>
      </c>
      <c r="K4" s="165">
        <v>1.93E8</v>
      </c>
      <c r="L4" s="164" t="s">
        <v>361</v>
      </c>
      <c r="M4" s="3"/>
      <c r="N4" s="3"/>
    </row>
    <row r="5">
      <c r="A5" s="21">
        <v>1.0</v>
      </c>
      <c r="B5" s="24" t="s">
        <v>363</v>
      </c>
      <c r="C5" s="120" t="s">
        <v>364</v>
      </c>
      <c r="D5" s="24"/>
      <c r="E5" s="3"/>
      <c r="F5" s="3"/>
      <c r="G5" s="3"/>
      <c r="H5" s="3"/>
      <c r="I5" s="21">
        <v>1.0</v>
      </c>
      <c r="J5" s="24" t="s">
        <v>200</v>
      </c>
      <c r="K5" s="120">
        <v>2.0E7</v>
      </c>
      <c r="L5" s="24"/>
      <c r="M5" s="3"/>
      <c r="N5" s="3"/>
    </row>
    <row r="6">
      <c r="A6" s="21">
        <v>2.0</v>
      </c>
      <c r="B6" s="24" t="s">
        <v>365</v>
      </c>
      <c r="C6" s="120" t="s">
        <v>366</v>
      </c>
      <c r="D6" s="24"/>
      <c r="E6" s="3"/>
      <c r="F6" s="3"/>
      <c r="G6" s="3"/>
      <c r="H6" s="3"/>
      <c r="I6" s="21">
        <v>2.0</v>
      </c>
      <c r="J6" s="24" t="s">
        <v>202</v>
      </c>
      <c r="K6" s="120">
        <v>5.0E7</v>
      </c>
      <c r="L6" s="24"/>
      <c r="M6" s="3"/>
      <c r="N6" s="3"/>
    </row>
    <row r="7">
      <c r="A7" s="166" t="s">
        <v>133</v>
      </c>
      <c r="B7" s="99" t="s">
        <v>367</v>
      </c>
      <c r="C7" s="163"/>
      <c r="D7" s="166"/>
      <c r="E7" s="3"/>
      <c r="F7" s="3"/>
      <c r="G7" s="3"/>
      <c r="H7" s="3"/>
      <c r="I7" s="21">
        <v>3.0</v>
      </c>
      <c r="J7" s="24" t="s">
        <v>368</v>
      </c>
      <c r="K7" s="120">
        <v>2.0E7</v>
      </c>
      <c r="L7" s="24"/>
      <c r="M7" s="3"/>
      <c r="N7" s="3"/>
    </row>
    <row r="8">
      <c r="A8" s="21">
        <v>1.0</v>
      </c>
      <c r="B8" s="24" t="s">
        <v>369</v>
      </c>
      <c r="C8" s="120">
        <v>2.0E7</v>
      </c>
      <c r="D8" s="24"/>
      <c r="E8" s="3"/>
      <c r="F8" s="3"/>
      <c r="G8" s="3"/>
      <c r="H8" s="3"/>
      <c r="I8" s="166" t="s">
        <v>133</v>
      </c>
      <c r="J8" s="99" t="s">
        <v>370</v>
      </c>
      <c r="K8" s="165">
        <v>1.4E7</v>
      </c>
      <c r="L8" s="167" t="s">
        <v>371</v>
      </c>
      <c r="M8" s="3"/>
      <c r="N8" s="3"/>
    </row>
    <row r="9">
      <c r="A9" s="21">
        <v>2.0</v>
      </c>
      <c r="B9" s="24" t="s">
        <v>372</v>
      </c>
      <c r="C9" s="120">
        <v>1.4E7</v>
      </c>
      <c r="D9" s="24"/>
      <c r="E9" s="3"/>
      <c r="F9" s="3"/>
      <c r="G9" s="3"/>
      <c r="H9" s="3"/>
      <c r="I9" s="21">
        <v>1.0</v>
      </c>
      <c r="J9" s="24" t="s">
        <v>373</v>
      </c>
      <c r="K9" s="120">
        <v>2.0E7</v>
      </c>
      <c r="L9" s="153" t="s">
        <v>374</v>
      </c>
      <c r="M9" s="3"/>
      <c r="N9" s="3"/>
    </row>
    <row r="10">
      <c r="A10" s="21">
        <v>3.0</v>
      </c>
      <c r="B10" s="24" t="s">
        <v>375</v>
      </c>
      <c r="C10" s="120">
        <v>2.0E7</v>
      </c>
      <c r="D10" s="24"/>
      <c r="E10" s="3"/>
      <c r="F10" s="3"/>
      <c r="G10" s="3"/>
      <c r="H10" s="3"/>
      <c r="I10" s="21">
        <v>2.0</v>
      </c>
      <c r="J10" s="24" t="s">
        <v>376</v>
      </c>
      <c r="K10" s="120">
        <v>1.4E7</v>
      </c>
      <c r="L10" s="153" t="s">
        <v>377</v>
      </c>
      <c r="M10" s="3"/>
      <c r="N10" s="3"/>
    </row>
    <row r="11">
      <c r="A11" s="21">
        <v>4.0</v>
      </c>
      <c r="B11" s="24" t="s">
        <v>378</v>
      </c>
      <c r="C11" s="120">
        <v>1.4E7</v>
      </c>
      <c r="D11" s="153" t="s">
        <v>377</v>
      </c>
      <c r="E11" s="3"/>
      <c r="F11" s="3"/>
      <c r="G11" s="3"/>
      <c r="H11" s="3"/>
      <c r="I11" s="92"/>
      <c r="J11" s="162" t="s">
        <v>161</v>
      </c>
      <c r="K11" s="168" t="s">
        <v>379</v>
      </c>
      <c r="L11" s="92"/>
      <c r="M11" s="3"/>
      <c r="N11" s="3"/>
    </row>
    <row r="12">
      <c r="A12" s="21">
        <v>5.0</v>
      </c>
      <c r="B12" s="24" t="s">
        <v>375</v>
      </c>
      <c r="C12" s="120">
        <v>2.0E7</v>
      </c>
      <c r="D12" s="153" t="s">
        <v>374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21">
        <v>6.0</v>
      </c>
      <c r="B13" s="24" t="s">
        <v>378</v>
      </c>
      <c r="C13" s="120">
        <v>1.4E7</v>
      </c>
      <c r="D13" s="153" t="s">
        <v>377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92"/>
      <c r="B14" s="162" t="s">
        <v>161</v>
      </c>
      <c r="C14" s="169" t="s">
        <v>379</v>
      </c>
      <c r="D14" s="92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mergeCells count="1">
    <mergeCell ref="A1:D1"/>
  </mergeCells>
  <drawing r:id="rId1"/>
</worksheet>
</file>